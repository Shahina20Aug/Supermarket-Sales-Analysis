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i\Downloads\"/>
    </mc:Choice>
  </mc:AlternateContent>
  <xr:revisionPtr revIDLastSave="0" documentId="13_ncr:1_{5124ADBB-D3FE-4C2B-84EB-79E8249B48D7}" xr6:coauthVersionLast="47" xr6:coauthVersionMax="47" xr10:uidLastSave="{00000000-0000-0000-0000-000000000000}"/>
  <bookViews>
    <workbookView xWindow="-108" yWindow="-108" windowWidth="23256" windowHeight="12576" activeTab="3" xr2:uid="{00000000-000D-0000-FFFF-FFFF00000000}"/>
  </bookViews>
  <sheets>
    <sheet name="Raw Data" sheetId="8" r:id="rId1"/>
    <sheet name="Cleaned Data" sheetId="4" r:id="rId2"/>
    <sheet name="Pivot Analysis" sheetId="10" r:id="rId3"/>
    <sheet name="Dashboard" sheetId="6" r:id="rId4"/>
    <sheet name="Insights" sheetId="7" r:id="rId5"/>
    <sheet name="Project_Steps" sheetId="2" r:id="rId6"/>
  </sheets>
  <definedNames>
    <definedName name="_xlnm._FilterDatabase" localSheetId="1" hidden="1">'Cleaned Data'!$A$1:$P$501</definedName>
    <definedName name="Slicer_Category">#N/A</definedName>
    <definedName name="Slicer_City">#N/A</definedName>
    <definedName name="Slicer_Gender">#N/A</definedName>
    <definedName name="Slicer_Payment_Mod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3" i="4" l="1"/>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S38" i="4" s="1"/>
  <c r="R39" i="4"/>
  <c r="R40" i="4"/>
  <c r="R41" i="4"/>
  <c r="R42" i="4"/>
  <c r="S42" i="4" s="1"/>
  <c r="R43" i="4"/>
  <c r="R44" i="4"/>
  <c r="R45" i="4"/>
  <c r="R46" i="4"/>
  <c r="S46" i="4" s="1"/>
  <c r="R47" i="4"/>
  <c r="R48" i="4"/>
  <c r="R49" i="4"/>
  <c r="R50" i="4"/>
  <c r="R51" i="4"/>
  <c r="R52" i="4"/>
  <c r="R53" i="4"/>
  <c r="R54" i="4"/>
  <c r="S54" i="4" s="1"/>
  <c r="R55" i="4"/>
  <c r="R56" i="4"/>
  <c r="R57" i="4"/>
  <c r="R58" i="4"/>
  <c r="S58" i="4" s="1"/>
  <c r="R59" i="4"/>
  <c r="R60" i="4"/>
  <c r="R61" i="4"/>
  <c r="R62" i="4"/>
  <c r="S62" i="4" s="1"/>
  <c r="R63" i="4"/>
  <c r="R64" i="4"/>
  <c r="R65" i="4"/>
  <c r="R66" i="4"/>
  <c r="S66" i="4" s="1"/>
  <c r="R67" i="4"/>
  <c r="R68" i="4"/>
  <c r="R69" i="4"/>
  <c r="R70" i="4"/>
  <c r="S70" i="4" s="1"/>
  <c r="R71" i="4"/>
  <c r="R72" i="4"/>
  <c r="R73" i="4"/>
  <c r="R74" i="4"/>
  <c r="S74" i="4" s="1"/>
  <c r="R75" i="4"/>
  <c r="R76" i="4"/>
  <c r="R77" i="4"/>
  <c r="R78" i="4"/>
  <c r="R79" i="4"/>
  <c r="R80" i="4"/>
  <c r="R81" i="4"/>
  <c r="R82" i="4"/>
  <c r="S82" i="4" s="1"/>
  <c r="R83" i="4"/>
  <c r="R84" i="4"/>
  <c r="R85" i="4"/>
  <c r="R86" i="4"/>
  <c r="S86" i="4" s="1"/>
  <c r="R87" i="4"/>
  <c r="R88" i="4"/>
  <c r="R89" i="4"/>
  <c r="R90" i="4"/>
  <c r="S90" i="4" s="1"/>
  <c r="R91" i="4"/>
  <c r="R92" i="4"/>
  <c r="R93" i="4"/>
  <c r="R94" i="4"/>
  <c r="R95" i="4"/>
  <c r="R96" i="4"/>
  <c r="R97" i="4"/>
  <c r="R98" i="4"/>
  <c r="S98" i="4" s="1"/>
  <c r="R99" i="4"/>
  <c r="R100" i="4"/>
  <c r="R101" i="4"/>
  <c r="R102" i="4"/>
  <c r="S102" i="4" s="1"/>
  <c r="R103" i="4"/>
  <c r="R104" i="4"/>
  <c r="R105" i="4"/>
  <c r="R106" i="4"/>
  <c r="S106" i="4" s="1"/>
  <c r="R107" i="4"/>
  <c r="R108" i="4"/>
  <c r="R109" i="4"/>
  <c r="R110" i="4"/>
  <c r="S110" i="4" s="1"/>
  <c r="R111" i="4"/>
  <c r="R112" i="4"/>
  <c r="R113" i="4"/>
  <c r="R114" i="4"/>
  <c r="S114" i="4" s="1"/>
  <c r="R115" i="4"/>
  <c r="R116" i="4"/>
  <c r="R117" i="4"/>
  <c r="R118" i="4"/>
  <c r="R119" i="4"/>
  <c r="R120" i="4"/>
  <c r="R121" i="4"/>
  <c r="R122" i="4"/>
  <c r="S122" i="4" s="1"/>
  <c r="R123" i="4"/>
  <c r="R124" i="4"/>
  <c r="R125" i="4"/>
  <c r="R126" i="4"/>
  <c r="S126" i="4" s="1"/>
  <c r="R127" i="4"/>
  <c r="R128" i="4"/>
  <c r="R129" i="4"/>
  <c r="R130" i="4"/>
  <c r="S130" i="4" s="1"/>
  <c r="R131" i="4"/>
  <c r="R132" i="4"/>
  <c r="R133" i="4"/>
  <c r="R134" i="4"/>
  <c r="S134" i="4" s="1"/>
  <c r="R135" i="4"/>
  <c r="R136" i="4"/>
  <c r="R137" i="4"/>
  <c r="R138" i="4"/>
  <c r="R139" i="4"/>
  <c r="R140" i="4"/>
  <c r="R141" i="4"/>
  <c r="R142" i="4"/>
  <c r="S142" i="4" s="1"/>
  <c r="R143" i="4"/>
  <c r="R144" i="4"/>
  <c r="R145" i="4"/>
  <c r="R146" i="4"/>
  <c r="S146" i="4" s="1"/>
  <c r="R147" i="4"/>
  <c r="R148" i="4"/>
  <c r="R149" i="4"/>
  <c r="R150" i="4"/>
  <c r="S150" i="4" s="1"/>
  <c r="R151" i="4"/>
  <c r="R152" i="4"/>
  <c r="R153" i="4"/>
  <c r="R154" i="4"/>
  <c r="S154" i="4" s="1"/>
  <c r="R155" i="4"/>
  <c r="R156" i="4"/>
  <c r="R157" i="4"/>
  <c r="R158" i="4"/>
  <c r="R159" i="4"/>
  <c r="R160" i="4"/>
  <c r="R161" i="4"/>
  <c r="R162" i="4"/>
  <c r="R163" i="4"/>
  <c r="R164" i="4"/>
  <c r="R165" i="4"/>
  <c r="R166" i="4"/>
  <c r="S166" i="4" s="1"/>
  <c r="R167" i="4"/>
  <c r="R168" i="4"/>
  <c r="R169" i="4"/>
  <c r="R170" i="4"/>
  <c r="S170" i="4" s="1"/>
  <c r="R171" i="4"/>
  <c r="R172" i="4"/>
  <c r="R173" i="4"/>
  <c r="R174" i="4"/>
  <c r="S174" i="4" s="1"/>
  <c r="R175" i="4"/>
  <c r="R176" i="4"/>
  <c r="R177" i="4"/>
  <c r="R178" i="4"/>
  <c r="R179" i="4"/>
  <c r="R180" i="4"/>
  <c r="R181" i="4"/>
  <c r="R182" i="4"/>
  <c r="S182" i="4" s="1"/>
  <c r="R183" i="4"/>
  <c r="R184" i="4"/>
  <c r="R185" i="4"/>
  <c r="R186" i="4"/>
  <c r="R187" i="4"/>
  <c r="R188" i="4"/>
  <c r="R189" i="4"/>
  <c r="R190" i="4"/>
  <c r="S190" i="4" s="1"/>
  <c r="R191" i="4"/>
  <c r="R192" i="4"/>
  <c r="R193" i="4"/>
  <c r="R194" i="4"/>
  <c r="S194" i="4" s="1"/>
  <c r="R195" i="4"/>
  <c r="R196" i="4"/>
  <c r="R197" i="4"/>
  <c r="R198" i="4"/>
  <c r="R199" i="4"/>
  <c r="R200" i="4"/>
  <c r="R201" i="4"/>
  <c r="R202" i="4"/>
  <c r="S202" i="4" s="1"/>
  <c r="R203" i="4"/>
  <c r="R204" i="4"/>
  <c r="R205" i="4"/>
  <c r="R206" i="4"/>
  <c r="R207" i="4"/>
  <c r="R208" i="4"/>
  <c r="R209" i="4"/>
  <c r="R210" i="4"/>
  <c r="S210" i="4" s="1"/>
  <c r="R211" i="4"/>
  <c r="R212" i="4"/>
  <c r="R213" i="4"/>
  <c r="R214" i="4"/>
  <c r="S214" i="4" s="1"/>
  <c r="R215" i="4"/>
  <c r="R216" i="4"/>
  <c r="R217" i="4"/>
  <c r="R218" i="4"/>
  <c r="S218" i="4" s="1"/>
  <c r="R219" i="4"/>
  <c r="R220" i="4"/>
  <c r="R221" i="4"/>
  <c r="R222" i="4"/>
  <c r="S222" i="4" s="1"/>
  <c r="R223" i="4"/>
  <c r="R224" i="4"/>
  <c r="R225" i="4"/>
  <c r="R226" i="4"/>
  <c r="R227" i="4"/>
  <c r="R228" i="4"/>
  <c r="R229" i="4"/>
  <c r="R230" i="4"/>
  <c r="S230" i="4" s="1"/>
  <c r="R231" i="4"/>
  <c r="R232" i="4"/>
  <c r="R233" i="4"/>
  <c r="R234" i="4"/>
  <c r="S234" i="4" s="1"/>
  <c r="R235" i="4"/>
  <c r="R236" i="4"/>
  <c r="R237" i="4"/>
  <c r="R238" i="4"/>
  <c r="S238" i="4" s="1"/>
  <c r="R239" i="4"/>
  <c r="R240" i="4"/>
  <c r="R241" i="4"/>
  <c r="R242" i="4"/>
  <c r="S242" i="4" s="1"/>
  <c r="R243" i="4"/>
  <c r="R244" i="4"/>
  <c r="R245" i="4"/>
  <c r="R246" i="4"/>
  <c r="R247" i="4"/>
  <c r="R248" i="4"/>
  <c r="R249" i="4"/>
  <c r="R250" i="4"/>
  <c r="S250" i="4" s="1"/>
  <c r="R251" i="4"/>
  <c r="R252" i="4"/>
  <c r="R253" i="4"/>
  <c r="R254" i="4"/>
  <c r="S254" i="4" s="1"/>
  <c r="R255" i="4"/>
  <c r="R256" i="4"/>
  <c r="R257" i="4"/>
  <c r="R258" i="4"/>
  <c r="S258" i="4" s="1"/>
  <c r="R259" i="4"/>
  <c r="R260" i="4"/>
  <c r="R261" i="4"/>
  <c r="R262" i="4"/>
  <c r="S262" i="4" s="1"/>
  <c r="R263" i="4"/>
  <c r="R264" i="4"/>
  <c r="R265" i="4"/>
  <c r="R266" i="4"/>
  <c r="R267" i="4"/>
  <c r="R268" i="4"/>
  <c r="R269" i="4"/>
  <c r="R270" i="4"/>
  <c r="R271" i="4"/>
  <c r="R272" i="4"/>
  <c r="R273" i="4"/>
  <c r="R274" i="4"/>
  <c r="S274" i="4" s="1"/>
  <c r="R275" i="4"/>
  <c r="R276" i="4"/>
  <c r="R277" i="4"/>
  <c r="R278" i="4"/>
  <c r="S278" i="4" s="1"/>
  <c r="R279" i="4"/>
  <c r="R280" i="4"/>
  <c r="R281" i="4"/>
  <c r="R282" i="4"/>
  <c r="S282" i="4" s="1"/>
  <c r="R283" i="4"/>
  <c r="R284" i="4"/>
  <c r="R285" i="4"/>
  <c r="R286" i="4"/>
  <c r="R287" i="4"/>
  <c r="R288" i="4"/>
  <c r="R289" i="4"/>
  <c r="R290" i="4"/>
  <c r="S290" i="4" s="1"/>
  <c r="R291" i="4"/>
  <c r="R292" i="4"/>
  <c r="R293" i="4"/>
  <c r="R294" i="4"/>
  <c r="S294" i="4" s="1"/>
  <c r="R295" i="4"/>
  <c r="R296" i="4"/>
  <c r="R297" i="4"/>
  <c r="R298" i="4"/>
  <c r="S298" i="4" s="1"/>
  <c r="R299" i="4"/>
  <c r="R300" i="4"/>
  <c r="R301" i="4"/>
  <c r="R302" i="4"/>
  <c r="S302" i="4" s="1"/>
  <c r="R303" i="4"/>
  <c r="R304" i="4"/>
  <c r="R305" i="4"/>
  <c r="R306" i="4"/>
  <c r="S306" i="4" s="1"/>
  <c r="R307" i="4"/>
  <c r="R308" i="4"/>
  <c r="R309" i="4"/>
  <c r="R310" i="4"/>
  <c r="R311" i="4"/>
  <c r="R312" i="4"/>
  <c r="R313" i="4"/>
  <c r="R314" i="4"/>
  <c r="S314" i="4" s="1"/>
  <c r="R315" i="4"/>
  <c r="R316" i="4"/>
  <c r="R317" i="4"/>
  <c r="R318" i="4"/>
  <c r="S318" i="4" s="1"/>
  <c r="R319" i="4"/>
  <c r="R320" i="4"/>
  <c r="R321" i="4"/>
  <c r="R322" i="4"/>
  <c r="S322" i="4" s="1"/>
  <c r="R323" i="4"/>
  <c r="R324" i="4"/>
  <c r="R325" i="4"/>
  <c r="R326" i="4"/>
  <c r="S326" i="4" s="1"/>
  <c r="R327" i="4"/>
  <c r="R328" i="4"/>
  <c r="R329" i="4"/>
  <c r="R330" i="4"/>
  <c r="S330" i="4" s="1"/>
  <c r="R331" i="4"/>
  <c r="R332" i="4"/>
  <c r="R333" i="4"/>
  <c r="R334" i="4"/>
  <c r="R335" i="4"/>
  <c r="R336" i="4"/>
  <c r="R337" i="4"/>
  <c r="R338" i="4"/>
  <c r="S338" i="4" s="1"/>
  <c r="R339" i="4"/>
  <c r="R340" i="4"/>
  <c r="R341" i="4"/>
  <c r="R342" i="4"/>
  <c r="S342" i="4" s="1"/>
  <c r="R343" i="4"/>
  <c r="R344" i="4"/>
  <c r="R345" i="4"/>
  <c r="R346" i="4"/>
  <c r="S346" i="4" s="1"/>
  <c r="R347" i="4"/>
  <c r="R348" i="4"/>
  <c r="R349" i="4"/>
  <c r="R350" i="4"/>
  <c r="R351" i="4"/>
  <c r="R352" i="4"/>
  <c r="R353" i="4"/>
  <c r="R354" i="4"/>
  <c r="S354" i="4" s="1"/>
  <c r="R355" i="4"/>
  <c r="R356" i="4"/>
  <c r="R357" i="4"/>
  <c r="R358" i="4"/>
  <c r="S358" i="4" s="1"/>
  <c r="R359" i="4"/>
  <c r="R360" i="4"/>
  <c r="R361" i="4"/>
  <c r="R362" i="4"/>
  <c r="S362" i="4" s="1"/>
  <c r="R363" i="4"/>
  <c r="R364" i="4"/>
  <c r="R365" i="4"/>
  <c r="R366" i="4"/>
  <c r="S366" i="4" s="1"/>
  <c r="R367" i="4"/>
  <c r="R368" i="4"/>
  <c r="R369" i="4"/>
  <c r="R370" i="4"/>
  <c r="S370" i="4" s="1"/>
  <c r="R371" i="4"/>
  <c r="R372" i="4"/>
  <c r="R373" i="4"/>
  <c r="R374" i="4"/>
  <c r="R375" i="4"/>
  <c r="R376" i="4"/>
  <c r="R377" i="4"/>
  <c r="R378" i="4"/>
  <c r="S378" i="4" s="1"/>
  <c r="R379" i="4"/>
  <c r="R380" i="4"/>
  <c r="R381" i="4"/>
  <c r="R382" i="4"/>
  <c r="R383" i="4"/>
  <c r="R384" i="4"/>
  <c r="R385" i="4"/>
  <c r="R386" i="4"/>
  <c r="S386" i="4" s="1"/>
  <c r="R387" i="4"/>
  <c r="R388" i="4"/>
  <c r="R389" i="4"/>
  <c r="R390" i="4"/>
  <c r="S390" i="4" s="1"/>
  <c r="R391" i="4"/>
  <c r="R392" i="4"/>
  <c r="R393" i="4"/>
  <c r="R394" i="4"/>
  <c r="R395" i="4"/>
  <c r="R396" i="4"/>
  <c r="R397" i="4"/>
  <c r="R398" i="4"/>
  <c r="S398" i="4" s="1"/>
  <c r="R399" i="4"/>
  <c r="R400" i="4"/>
  <c r="R401" i="4"/>
  <c r="R402" i="4"/>
  <c r="S402" i="4" s="1"/>
  <c r="R403" i="4"/>
  <c r="R404" i="4"/>
  <c r="R405" i="4"/>
  <c r="R406" i="4"/>
  <c r="S406" i="4" s="1"/>
  <c r="R407" i="4"/>
  <c r="R408" i="4"/>
  <c r="R409" i="4"/>
  <c r="R410" i="4"/>
  <c r="S410" i="4" s="1"/>
  <c r="R411" i="4"/>
  <c r="R412" i="4"/>
  <c r="R413" i="4"/>
  <c r="R414" i="4"/>
  <c r="S414" i="4" s="1"/>
  <c r="R415" i="4"/>
  <c r="R416" i="4"/>
  <c r="R417" i="4"/>
  <c r="R418" i="4"/>
  <c r="R419" i="4"/>
  <c r="R420" i="4"/>
  <c r="R421" i="4"/>
  <c r="R422" i="4"/>
  <c r="S422" i="4" s="1"/>
  <c r="R423" i="4"/>
  <c r="R424" i="4"/>
  <c r="R425" i="4"/>
  <c r="R426" i="4"/>
  <c r="S426" i="4" s="1"/>
  <c r="R427" i="4"/>
  <c r="R428" i="4"/>
  <c r="R429" i="4"/>
  <c r="R430" i="4"/>
  <c r="S430" i="4" s="1"/>
  <c r="R431" i="4"/>
  <c r="R432" i="4"/>
  <c r="R433" i="4"/>
  <c r="R434" i="4"/>
  <c r="R435" i="4"/>
  <c r="R436" i="4"/>
  <c r="R437" i="4"/>
  <c r="R438" i="4"/>
  <c r="S438" i="4" s="1"/>
  <c r="R439" i="4"/>
  <c r="R440" i="4"/>
  <c r="R441" i="4"/>
  <c r="R442" i="4"/>
  <c r="S442" i="4" s="1"/>
  <c r="R443" i="4"/>
  <c r="R444" i="4"/>
  <c r="R445" i="4"/>
  <c r="R446" i="4"/>
  <c r="S446" i="4" s="1"/>
  <c r="R447" i="4"/>
  <c r="R448" i="4"/>
  <c r="R449" i="4"/>
  <c r="R450" i="4"/>
  <c r="S450" i="4" s="1"/>
  <c r="R451" i="4"/>
  <c r="R452" i="4"/>
  <c r="R453" i="4"/>
  <c r="R454" i="4"/>
  <c r="R455" i="4"/>
  <c r="R456" i="4"/>
  <c r="R457" i="4"/>
  <c r="R458" i="4"/>
  <c r="S458" i="4" s="1"/>
  <c r="R459" i="4"/>
  <c r="R460" i="4"/>
  <c r="R461" i="4"/>
  <c r="R462" i="4"/>
  <c r="R463" i="4"/>
  <c r="R464" i="4"/>
  <c r="R465" i="4"/>
  <c r="R466" i="4"/>
  <c r="S466" i="4" s="1"/>
  <c r="R467" i="4"/>
  <c r="R468" i="4"/>
  <c r="R469" i="4"/>
  <c r="R470" i="4"/>
  <c r="S470" i="4" s="1"/>
  <c r="R471" i="4"/>
  <c r="R472" i="4"/>
  <c r="R473" i="4"/>
  <c r="R474" i="4"/>
  <c r="S474" i="4" s="1"/>
  <c r="R475" i="4"/>
  <c r="R476" i="4"/>
  <c r="R477" i="4"/>
  <c r="R478" i="4"/>
  <c r="R479" i="4"/>
  <c r="R480" i="4"/>
  <c r="R481" i="4"/>
  <c r="R482" i="4"/>
  <c r="S482" i="4" s="1"/>
  <c r="R483" i="4"/>
  <c r="R484" i="4"/>
  <c r="R485" i="4"/>
  <c r="R486" i="4"/>
  <c r="S486" i="4" s="1"/>
  <c r="R487" i="4"/>
  <c r="R488" i="4"/>
  <c r="R489" i="4"/>
  <c r="R490" i="4"/>
  <c r="S490" i="4" s="1"/>
  <c r="R491" i="4"/>
  <c r="R492" i="4"/>
  <c r="R493" i="4"/>
  <c r="R494" i="4"/>
  <c r="S494" i="4" s="1"/>
  <c r="R495" i="4"/>
  <c r="R496" i="4"/>
  <c r="R497" i="4"/>
  <c r="R498" i="4"/>
  <c r="R499" i="4"/>
  <c r="R500" i="4"/>
  <c r="R501" i="4"/>
  <c r="R502" i="4"/>
  <c r="S50" i="4"/>
  <c r="S78" i="4"/>
  <c r="S94" i="4"/>
  <c r="S118" i="4"/>
  <c r="S138" i="4"/>
  <c r="S162" i="4"/>
  <c r="S186" i="4"/>
  <c r="S206" i="4"/>
  <c r="S226" i="4"/>
  <c r="S246" i="4"/>
  <c r="S270" i="4"/>
  <c r="S286" i="4"/>
  <c r="S310" i="4"/>
  <c r="S334" i="4"/>
  <c r="S350" i="4"/>
  <c r="S374" i="4"/>
  <c r="S394" i="4"/>
  <c r="S418" i="4"/>
  <c r="S434" i="4"/>
  <c r="S454" i="4"/>
  <c r="S478" i="4"/>
  <c r="S502" i="4"/>
  <c r="R2" i="4"/>
  <c r="S178" i="4"/>
  <c r="S361" i="4"/>
  <c r="S377" i="4"/>
  <c r="S393" i="4"/>
  <c r="S409" i="4"/>
  <c r="S425" i="4"/>
  <c r="S441" i="4"/>
  <c r="S457" i="4"/>
  <c r="S473" i="4"/>
  <c r="S481" i="4"/>
  <c r="S485" i="4"/>
  <c r="S489" i="4"/>
  <c r="S493" i="4"/>
  <c r="S498" i="4"/>
  <c r="S158" i="4"/>
  <c r="S266" i="4"/>
  <c r="S382" i="4"/>
  <c r="S488" i="4"/>
  <c r="S492" i="4"/>
  <c r="S198" i="4"/>
  <c r="S462" i="4"/>
  <c r="S484" i="4"/>
  <c r="S500" i="4"/>
  <c r="S280" i="4"/>
  <c r="S479" i="4"/>
  <c r="S480" i="4"/>
  <c r="S483" i="4"/>
  <c r="S487" i="4"/>
  <c r="S491" i="4"/>
  <c r="S495" i="4"/>
  <c r="S496" i="4"/>
  <c r="S497" i="4"/>
  <c r="S499" i="4"/>
  <c r="S501" i="4"/>
  <c r="S35" i="4"/>
  <c r="S36" i="4"/>
  <c r="S37" i="4"/>
  <c r="S39" i="4"/>
  <c r="S40" i="4"/>
  <c r="S41" i="4"/>
  <c r="S43" i="4"/>
  <c r="S44" i="4"/>
  <c r="S45" i="4"/>
  <c r="S47" i="4"/>
  <c r="S48" i="4"/>
  <c r="S49" i="4"/>
  <c r="S51" i="4"/>
  <c r="S52" i="4"/>
  <c r="S53" i="4"/>
  <c r="S55" i="4"/>
  <c r="S56" i="4"/>
  <c r="S57" i="4"/>
  <c r="S59" i="4"/>
  <c r="S60" i="4"/>
  <c r="S61" i="4"/>
  <c r="S63" i="4"/>
  <c r="S64" i="4"/>
  <c r="S65" i="4"/>
  <c r="S67" i="4"/>
  <c r="S68" i="4"/>
  <c r="S69" i="4"/>
  <c r="S71" i="4"/>
  <c r="S72" i="4"/>
  <c r="S73" i="4"/>
  <c r="S75" i="4"/>
  <c r="S76" i="4"/>
  <c r="S77" i="4"/>
  <c r="S79" i="4"/>
  <c r="S80" i="4"/>
  <c r="S81" i="4"/>
  <c r="S83" i="4"/>
  <c r="S84" i="4"/>
  <c r="S85" i="4"/>
  <c r="S87" i="4"/>
  <c r="S88" i="4"/>
  <c r="S89" i="4"/>
  <c r="S91" i="4"/>
  <c r="S92" i="4"/>
  <c r="S93" i="4"/>
  <c r="S95" i="4"/>
  <c r="S96" i="4"/>
  <c r="S97" i="4"/>
  <c r="S99" i="4"/>
  <c r="S100" i="4"/>
  <c r="S101" i="4"/>
  <c r="S103" i="4"/>
  <c r="S104" i="4"/>
  <c r="S105" i="4"/>
  <c r="S107" i="4"/>
  <c r="S108" i="4"/>
  <c r="S109" i="4"/>
  <c r="S111" i="4"/>
  <c r="S112" i="4"/>
  <c r="S113" i="4"/>
  <c r="S115" i="4"/>
  <c r="S116" i="4"/>
  <c r="S117" i="4"/>
  <c r="S119" i="4"/>
  <c r="S120" i="4"/>
  <c r="S121" i="4"/>
  <c r="S123" i="4"/>
  <c r="S124" i="4"/>
  <c r="S125" i="4"/>
  <c r="S127" i="4"/>
  <c r="S128" i="4"/>
  <c r="S129" i="4"/>
  <c r="S131" i="4"/>
  <c r="S132" i="4"/>
  <c r="S133" i="4"/>
  <c r="S135" i="4"/>
  <c r="S136" i="4"/>
  <c r="S137" i="4"/>
  <c r="S139" i="4"/>
  <c r="S140" i="4"/>
  <c r="S141" i="4"/>
  <c r="S143" i="4"/>
  <c r="S144" i="4"/>
  <c r="S145" i="4"/>
  <c r="S147" i="4"/>
  <c r="S148" i="4"/>
  <c r="S149" i="4"/>
  <c r="S151" i="4"/>
  <c r="S152" i="4"/>
  <c r="S153" i="4"/>
  <c r="S155" i="4"/>
  <c r="S156" i="4"/>
  <c r="S157" i="4"/>
  <c r="S159" i="4"/>
  <c r="S160" i="4"/>
  <c r="S161" i="4"/>
  <c r="S163" i="4"/>
  <c r="S164" i="4"/>
  <c r="S165" i="4"/>
  <c r="S167" i="4"/>
  <c r="S168" i="4"/>
  <c r="S169" i="4"/>
  <c r="S171" i="4"/>
  <c r="S172" i="4"/>
  <c r="S173" i="4"/>
  <c r="S175" i="4"/>
  <c r="S176" i="4"/>
  <c r="S177" i="4"/>
  <c r="S179" i="4"/>
  <c r="S180" i="4"/>
  <c r="S181" i="4"/>
  <c r="S183" i="4"/>
  <c r="S184" i="4"/>
  <c r="S185" i="4"/>
  <c r="S187" i="4"/>
  <c r="S188" i="4"/>
  <c r="S189" i="4"/>
  <c r="S191" i="4"/>
  <c r="S192" i="4"/>
  <c r="S193" i="4"/>
  <c r="S195" i="4"/>
  <c r="S196" i="4"/>
  <c r="S197" i="4"/>
  <c r="S199" i="4"/>
  <c r="S200" i="4"/>
  <c r="S201" i="4"/>
  <c r="S203" i="4"/>
  <c r="S204" i="4"/>
  <c r="S205" i="4"/>
  <c r="S207" i="4"/>
  <c r="S208" i="4"/>
  <c r="S209" i="4"/>
  <c r="S211" i="4"/>
  <c r="S212" i="4"/>
  <c r="S213" i="4"/>
  <c r="S215" i="4"/>
  <c r="S216" i="4"/>
  <c r="S217" i="4"/>
  <c r="S219" i="4"/>
  <c r="S220" i="4"/>
  <c r="S221" i="4"/>
  <c r="S223" i="4"/>
  <c r="S224" i="4"/>
  <c r="S225" i="4"/>
  <c r="S227" i="4"/>
  <c r="S228" i="4"/>
  <c r="S229" i="4"/>
  <c r="S231" i="4"/>
  <c r="S232" i="4"/>
  <c r="S233" i="4"/>
  <c r="S235" i="4"/>
  <c r="S236" i="4"/>
  <c r="S237" i="4"/>
  <c r="S239" i="4"/>
  <c r="S240" i="4"/>
  <c r="S241" i="4"/>
  <c r="S243" i="4"/>
  <c r="S244" i="4"/>
  <c r="S245" i="4"/>
  <c r="S247" i="4"/>
  <c r="S248" i="4"/>
  <c r="S249" i="4"/>
  <c r="S251" i="4"/>
  <c r="S252" i="4"/>
  <c r="S253" i="4"/>
  <c r="S255" i="4"/>
  <c r="S256" i="4"/>
  <c r="S257" i="4"/>
  <c r="S259" i="4"/>
  <c r="S260" i="4"/>
  <c r="S261" i="4"/>
  <c r="S263" i="4"/>
  <c r="S264" i="4"/>
  <c r="S265" i="4"/>
  <c r="S267" i="4"/>
  <c r="S268" i="4"/>
  <c r="S269" i="4"/>
  <c r="S271" i="4"/>
  <c r="S272" i="4"/>
  <c r="S273" i="4"/>
  <c r="S275" i="4"/>
  <c r="S276" i="4"/>
  <c r="S277" i="4"/>
  <c r="S279" i="4"/>
  <c r="S281" i="4"/>
  <c r="S283" i="4"/>
  <c r="S284" i="4"/>
  <c r="S285" i="4"/>
  <c r="S287" i="4"/>
  <c r="S288" i="4"/>
  <c r="S289" i="4"/>
  <c r="S291" i="4"/>
  <c r="S292" i="4"/>
  <c r="S293" i="4"/>
  <c r="S295" i="4"/>
  <c r="S296" i="4"/>
  <c r="S297" i="4"/>
  <c r="S299" i="4"/>
  <c r="S300" i="4"/>
  <c r="S301" i="4"/>
  <c r="S303" i="4"/>
  <c r="S304" i="4"/>
  <c r="S305" i="4"/>
  <c r="S307" i="4"/>
  <c r="S308" i="4"/>
  <c r="S309" i="4"/>
  <c r="S311" i="4"/>
  <c r="S312" i="4"/>
  <c r="S313" i="4"/>
  <c r="S315" i="4"/>
  <c r="S316" i="4"/>
  <c r="S317" i="4"/>
  <c r="S319" i="4"/>
  <c r="S320" i="4"/>
  <c r="S321" i="4"/>
  <c r="S323" i="4"/>
  <c r="S324" i="4"/>
  <c r="S325" i="4"/>
  <c r="S327" i="4"/>
  <c r="S328" i="4"/>
  <c r="S329" i="4"/>
  <c r="S331" i="4"/>
  <c r="S332" i="4"/>
  <c r="S333" i="4"/>
  <c r="S335" i="4"/>
  <c r="S336" i="4"/>
  <c r="S337" i="4"/>
  <c r="S339" i="4"/>
  <c r="S340" i="4"/>
  <c r="S341" i="4"/>
  <c r="S343" i="4"/>
  <c r="S344" i="4"/>
  <c r="S345" i="4"/>
  <c r="S347" i="4"/>
  <c r="S348" i="4"/>
  <c r="S349" i="4"/>
  <c r="S351" i="4"/>
  <c r="S352" i="4"/>
  <c r="S353" i="4"/>
  <c r="S355" i="4"/>
  <c r="S356" i="4"/>
  <c r="S357" i="4"/>
  <c r="S359" i="4"/>
  <c r="S360" i="4"/>
  <c r="S363" i="4"/>
  <c r="S364" i="4"/>
  <c r="S365" i="4"/>
  <c r="S367" i="4"/>
  <c r="S368" i="4"/>
  <c r="S369" i="4"/>
  <c r="S371" i="4"/>
  <c r="S372" i="4"/>
  <c r="S373" i="4"/>
  <c r="S375" i="4"/>
  <c r="S376" i="4"/>
  <c r="S379" i="4"/>
  <c r="S380" i="4"/>
  <c r="S381" i="4"/>
  <c r="S383" i="4"/>
  <c r="S384" i="4"/>
  <c r="S385" i="4"/>
  <c r="S387" i="4"/>
  <c r="S388" i="4"/>
  <c r="S389" i="4"/>
  <c r="S391" i="4"/>
  <c r="S392" i="4"/>
  <c r="S395" i="4"/>
  <c r="S396" i="4"/>
  <c r="S397" i="4"/>
  <c r="S399" i="4"/>
  <c r="S400" i="4"/>
  <c r="S401" i="4"/>
  <c r="S403" i="4"/>
  <c r="S404" i="4"/>
  <c r="S405" i="4"/>
  <c r="S407" i="4"/>
  <c r="S408" i="4"/>
  <c r="S411" i="4"/>
  <c r="S412" i="4"/>
  <c r="S413" i="4"/>
  <c r="S415" i="4"/>
  <c r="S416" i="4"/>
  <c r="S417" i="4"/>
  <c r="S419" i="4"/>
  <c r="S420" i="4"/>
  <c r="S421" i="4"/>
  <c r="S423" i="4"/>
  <c r="S424" i="4"/>
  <c r="S427" i="4"/>
  <c r="S428" i="4"/>
  <c r="S429" i="4"/>
  <c r="S431" i="4"/>
  <c r="S432" i="4"/>
  <c r="S433" i="4"/>
  <c r="S435" i="4"/>
  <c r="S436" i="4"/>
  <c r="S437" i="4"/>
  <c r="S439" i="4"/>
  <c r="S440" i="4"/>
  <c r="S443" i="4"/>
  <c r="S444" i="4"/>
  <c r="S445" i="4"/>
  <c r="S447" i="4"/>
  <c r="S448" i="4"/>
  <c r="S449" i="4"/>
  <c r="S451" i="4"/>
  <c r="S452" i="4"/>
  <c r="S453" i="4"/>
  <c r="S455" i="4"/>
  <c r="S456" i="4"/>
  <c r="S459" i="4"/>
  <c r="S460" i="4"/>
  <c r="S461" i="4"/>
  <c r="S463" i="4"/>
  <c r="S464" i="4"/>
  <c r="S465" i="4"/>
  <c r="S467" i="4"/>
  <c r="S468" i="4"/>
  <c r="S469" i="4"/>
  <c r="S471" i="4"/>
  <c r="S472" i="4"/>
  <c r="S475" i="4"/>
  <c r="S476" i="4"/>
  <c r="S477" i="4"/>
  <c r="P245" i="4"/>
  <c r="P249" i="4"/>
  <c r="P253" i="4"/>
  <c r="P257" i="4"/>
  <c r="P261" i="4"/>
  <c r="P265" i="4"/>
  <c r="P269" i="4"/>
  <c r="P273" i="4"/>
  <c r="P277" i="4"/>
  <c r="P281" i="4"/>
  <c r="P285" i="4"/>
  <c r="P289" i="4"/>
  <c r="P293" i="4"/>
  <c r="P297" i="4"/>
  <c r="P301" i="4"/>
  <c r="P305" i="4"/>
  <c r="P309" i="4"/>
  <c r="P313" i="4"/>
  <c r="P317" i="4"/>
  <c r="P321" i="4"/>
  <c r="P325" i="4"/>
  <c r="P329" i="4"/>
  <c r="P333" i="4"/>
  <c r="P337" i="4"/>
  <c r="P341" i="4"/>
  <c r="P345" i="4"/>
  <c r="P349" i="4"/>
  <c r="P353" i="4"/>
  <c r="P357" i="4"/>
  <c r="P361" i="4"/>
  <c r="P365" i="4"/>
  <c r="P369" i="4"/>
  <c r="P373" i="4"/>
  <c r="P377" i="4"/>
  <c r="P381" i="4"/>
  <c r="P385" i="4"/>
  <c r="P389" i="4"/>
  <c r="P393" i="4"/>
  <c r="P397" i="4"/>
  <c r="P401" i="4"/>
  <c r="P405" i="4"/>
  <c r="P409" i="4"/>
  <c r="P413" i="4"/>
  <c r="P417" i="4"/>
  <c r="P421" i="4"/>
  <c r="P425" i="4"/>
  <c r="P429" i="4"/>
  <c r="P433" i="4"/>
  <c r="P437" i="4"/>
  <c r="P441" i="4"/>
  <c r="P445" i="4"/>
  <c r="P449" i="4"/>
  <c r="P453" i="4"/>
  <c r="P457" i="4"/>
  <c r="P461" i="4"/>
  <c r="P465" i="4"/>
  <c r="P469" i="4"/>
  <c r="P473" i="4"/>
  <c r="P477" i="4"/>
  <c r="O3" i="4"/>
  <c r="O4" i="4"/>
  <c r="O5" i="4"/>
  <c r="O6" i="4"/>
  <c r="O7" i="4"/>
  <c r="O8" i="4"/>
  <c r="O9" i="4"/>
  <c r="O10" i="4"/>
  <c r="O11" i="4"/>
  <c r="P11" i="4" s="1"/>
  <c r="O12" i="4"/>
  <c r="O13" i="4"/>
  <c r="O14" i="4"/>
  <c r="O15" i="4"/>
  <c r="O16" i="4"/>
  <c r="O17" i="4"/>
  <c r="O18" i="4"/>
  <c r="O19" i="4"/>
  <c r="O20" i="4"/>
  <c r="O21" i="4"/>
  <c r="O22" i="4"/>
  <c r="O23" i="4"/>
  <c r="O24" i="4"/>
  <c r="O25" i="4"/>
  <c r="O26" i="4"/>
  <c r="O27" i="4"/>
  <c r="Q27" i="4" s="1"/>
  <c r="S27" i="4" s="1"/>
  <c r="O28" i="4"/>
  <c r="O29" i="4"/>
  <c r="O30" i="4"/>
  <c r="O31" i="4"/>
  <c r="O32" i="4"/>
  <c r="O33" i="4"/>
  <c r="O34" i="4"/>
  <c r="P34" i="4" s="1"/>
  <c r="O35" i="4"/>
  <c r="P35" i="4" s="1"/>
  <c r="O36" i="4"/>
  <c r="P36" i="4" s="1"/>
  <c r="O37" i="4"/>
  <c r="P37" i="4" s="1"/>
  <c r="O38" i="4"/>
  <c r="P38" i="4" s="1"/>
  <c r="O39" i="4"/>
  <c r="P39" i="4" s="1"/>
  <c r="O40" i="4"/>
  <c r="P40" i="4" s="1"/>
  <c r="O41" i="4"/>
  <c r="P41" i="4" s="1"/>
  <c r="O42" i="4"/>
  <c r="P42" i="4" s="1"/>
  <c r="O43" i="4"/>
  <c r="P43" i="4" s="1"/>
  <c r="O44" i="4"/>
  <c r="P44" i="4" s="1"/>
  <c r="O45" i="4"/>
  <c r="P45" i="4" s="1"/>
  <c r="O46" i="4"/>
  <c r="P46" i="4" s="1"/>
  <c r="O47" i="4"/>
  <c r="P47" i="4" s="1"/>
  <c r="O48" i="4"/>
  <c r="P48" i="4" s="1"/>
  <c r="O49" i="4"/>
  <c r="P49" i="4" s="1"/>
  <c r="O50" i="4"/>
  <c r="P50" i="4" s="1"/>
  <c r="O51" i="4"/>
  <c r="P51" i="4" s="1"/>
  <c r="O52" i="4"/>
  <c r="P52" i="4" s="1"/>
  <c r="O53" i="4"/>
  <c r="P53" i="4" s="1"/>
  <c r="O54" i="4"/>
  <c r="P54" i="4" s="1"/>
  <c r="O55" i="4"/>
  <c r="P55" i="4" s="1"/>
  <c r="O56" i="4"/>
  <c r="P56" i="4" s="1"/>
  <c r="O57" i="4"/>
  <c r="P57" i="4" s="1"/>
  <c r="O58" i="4"/>
  <c r="P58" i="4" s="1"/>
  <c r="O59" i="4"/>
  <c r="P59" i="4" s="1"/>
  <c r="O60" i="4"/>
  <c r="P60" i="4" s="1"/>
  <c r="O61" i="4"/>
  <c r="P61" i="4" s="1"/>
  <c r="O62" i="4"/>
  <c r="P62" i="4" s="1"/>
  <c r="O63" i="4"/>
  <c r="P63" i="4" s="1"/>
  <c r="O64" i="4"/>
  <c r="P64" i="4" s="1"/>
  <c r="O65" i="4"/>
  <c r="P65" i="4" s="1"/>
  <c r="O66" i="4"/>
  <c r="P66" i="4" s="1"/>
  <c r="O67" i="4"/>
  <c r="P67" i="4" s="1"/>
  <c r="O68" i="4"/>
  <c r="P68" i="4" s="1"/>
  <c r="O69" i="4"/>
  <c r="P69" i="4" s="1"/>
  <c r="O70" i="4"/>
  <c r="P70" i="4" s="1"/>
  <c r="O71" i="4"/>
  <c r="P71" i="4" s="1"/>
  <c r="O72" i="4"/>
  <c r="P72" i="4" s="1"/>
  <c r="O73" i="4"/>
  <c r="P73" i="4" s="1"/>
  <c r="O74" i="4"/>
  <c r="P74" i="4" s="1"/>
  <c r="O75" i="4"/>
  <c r="P75" i="4" s="1"/>
  <c r="O76" i="4"/>
  <c r="P76" i="4" s="1"/>
  <c r="O77" i="4"/>
  <c r="P77" i="4" s="1"/>
  <c r="O78" i="4"/>
  <c r="P78" i="4" s="1"/>
  <c r="O79" i="4"/>
  <c r="P79" i="4" s="1"/>
  <c r="O80" i="4"/>
  <c r="P80" i="4" s="1"/>
  <c r="O81" i="4"/>
  <c r="P81" i="4" s="1"/>
  <c r="O82" i="4"/>
  <c r="P82" i="4" s="1"/>
  <c r="O83" i="4"/>
  <c r="P83" i="4" s="1"/>
  <c r="O84" i="4"/>
  <c r="P84" i="4" s="1"/>
  <c r="O85" i="4"/>
  <c r="P85" i="4" s="1"/>
  <c r="O86" i="4"/>
  <c r="P86" i="4" s="1"/>
  <c r="O87" i="4"/>
  <c r="P87" i="4" s="1"/>
  <c r="O88" i="4"/>
  <c r="P88" i="4" s="1"/>
  <c r="O89" i="4"/>
  <c r="P89" i="4" s="1"/>
  <c r="O90" i="4"/>
  <c r="P90" i="4" s="1"/>
  <c r="O91" i="4"/>
  <c r="P91" i="4" s="1"/>
  <c r="O92" i="4"/>
  <c r="P92" i="4" s="1"/>
  <c r="O93" i="4"/>
  <c r="P93" i="4" s="1"/>
  <c r="O94" i="4"/>
  <c r="P94" i="4" s="1"/>
  <c r="O95" i="4"/>
  <c r="P95" i="4" s="1"/>
  <c r="O96" i="4"/>
  <c r="P96" i="4" s="1"/>
  <c r="O97" i="4"/>
  <c r="P97" i="4" s="1"/>
  <c r="O98" i="4"/>
  <c r="P98" i="4" s="1"/>
  <c r="O99" i="4"/>
  <c r="P99" i="4" s="1"/>
  <c r="O100" i="4"/>
  <c r="P100" i="4" s="1"/>
  <c r="O101" i="4"/>
  <c r="P101" i="4" s="1"/>
  <c r="O102" i="4"/>
  <c r="P102" i="4" s="1"/>
  <c r="O103" i="4"/>
  <c r="P103" i="4" s="1"/>
  <c r="O104" i="4"/>
  <c r="P104" i="4" s="1"/>
  <c r="O105" i="4"/>
  <c r="P105" i="4" s="1"/>
  <c r="O106" i="4"/>
  <c r="P106" i="4" s="1"/>
  <c r="O107" i="4"/>
  <c r="P107" i="4" s="1"/>
  <c r="O108" i="4"/>
  <c r="P108" i="4" s="1"/>
  <c r="O109" i="4"/>
  <c r="P109" i="4" s="1"/>
  <c r="O110" i="4"/>
  <c r="P110" i="4" s="1"/>
  <c r="O111" i="4"/>
  <c r="P111" i="4" s="1"/>
  <c r="O112" i="4"/>
  <c r="P112" i="4" s="1"/>
  <c r="O113" i="4"/>
  <c r="P113" i="4" s="1"/>
  <c r="O114" i="4"/>
  <c r="P114" i="4" s="1"/>
  <c r="O115" i="4"/>
  <c r="P115" i="4" s="1"/>
  <c r="O116" i="4"/>
  <c r="P116" i="4" s="1"/>
  <c r="O117" i="4"/>
  <c r="P117" i="4" s="1"/>
  <c r="O118" i="4"/>
  <c r="P118" i="4" s="1"/>
  <c r="O119" i="4"/>
  <c r="P119" i="4" s="1"/>
  <c r="O120" i="4"/>
  <c r="P120" i="4" s="1"/>
  <c r="O121" i="4"/>
  <c r="P121" i="4" s="1"/>
  <c r="O122" i="4"/>
  <c r="P122" i="4" s="1"/>
  <c r="O123" i="4"/>
  <c r="P123" i="4" s="1"/>
  <c r="O124" i="4"/>
  <c r="P124" i="4" s="1"/>
  <c r="O125" i="4"/>
  <c r="P125" i="4" s="1"/>
  <c r="O126" i="4"/>
  <c r="P126" i="4" s="1"/>
  <c r="O127" i="4"/>
  <c r="P127" i="4" s="1"/>
  <c r="O128" i="4"/>
  <c r="P128" i="4" s="1"/>
  <c r="O129" i="4"/>
  <c r="P129" i="4" s="1"/>
  <c r="O130" i="4"/>
  <c r="P130" i="4" s="1"/>
  <c r="O131" i="4"/>
  <c r="P131" i="4" s="1"/>
  <c r="O132" i="4"/>
  <c r="P132" i="4" s="1"/>
  <c r="O133" i="4"/>
  <c r="P133" i="4" s="1"/>
  <c r="O134" i="4"/>
  <c r="P134" i="4" s="1"/>
  <c r="O135" i="4"/>
  <c r="P135" i="4" s="1"/>
  <c r="O136" i="4"/>
  <c r="P136" i="4" s="1"/>
  <c r="O137" i="4"/>
  <c r="P137" i="4" s="1"/>
  <c r="O138" i="4"/>
  <c r="P138" i="4" s="1"/>
  <c r="O139" i="4"/>
  <c r="P139" i="4" s="1"/>
  <c r="O140" i="4"/>
  <c r="P140" i="4" s="1"/>
  <c r="O141" i="4"/>
  <c r="P141" i="4" s="1"/>
  <c r="O142" i="4"/>
  <c r="P142" i="4" s="1"/>
  <c r="O143" i="4"/>
  <c r="P143" i="4" s="1"/>
  <c r="O144" i="4"/>
  <c r="P144" i="4" s="1"/>
  <c r="O145" i="4"/>
  <c r="P145" i="4" s="1"/>
  <c r="O146" i="4"/>
  <c r="P146" i="4" s="1"/>
  <c r="O147" i="4"/>
  <c r="P147" i="4" s="1"/>
  <c r="O148" i="4"/>
  <c r="P148" i="4" s="1"/>
  <c r="O149" i="4"/>
  <c r="P149" i="4" s="1"/>
  <c r="O150" i="4"/>
  <c r="P150" i="4" s="1"/>
  <c r="O151" i="4"/>
  <c r="P151" i="4" s="1"/>
  <c r="O152" i="4"/>
  <c r="P152" i="4" s="1"/>
  <c r="O153" i="4"/>
  <c r="P153" i="4" s="1"/>
  <c r="O154" i="4"/>
  <c r="P154" i="4" s="1"/>
  <c r="O155" i="4"/>
  <c r="P155" i="4" s="1"/>
  <c r="O156" i="4"/>
  <c r="P156" i="4" s="1"/>
  <c r="O157" i="4"/>
  <c r="P157" i="4" s="1"/>
  <c r="O158" i="4"/>
  <c r="P158" i="4" s="1"/>
  <c r="O159" i="4"/>
  <c r="P159" i="4" s="1"/>
  <c r="O160" i="4"/>
  <c r="P160" i="4" s="1"/>
  <c r="O161" i="4"/>
  <c r="P161" i="4" s="1"/>
  <c r="O162" i="4"/>
  <c r="P162" i="4" s="1"/>
  <c r="O163" i="4"/>
  <c r="P163" i="4" s="1"/>
  <c r="O164" i="4"/>
  <c r="P164" i="4" s="1"/>
  <c r="O165" i="4"/>
  <c r="P165" i="4" s="1"/>
  <c r="O166" i="4"/>
  <c r="P166" i="4" s="1"/>
  <c r="O167" i="4"/>
  <c r="P167" i="4" s="1"/>
  <c r="O168" i="4"/>
  <c r="P168" i="4" s="1"/>
  <c r="O169" i="4"/>
  <c r="P169" i="4" s="1"/>
  <c r="O170" i="4"/>
  <c r="P170" i="4" s="1"/>
  <c r="O171" i="4"/>
  <c r="P171" i="4" s="1"/>
  <c r="O172" i="4"/>
  <c r="P172" i="4" s="1"/>
  <c r="O173" i="4"/>
  <c r="P173" i="4" s="1"/>
  <c r="O174" i="4"/>
  <c r="P174" i="4" s="1"/>
  <c r="O175" i="4"/>
  <c r="P175" i="4" s="1"/>
  <c r="O176" i="4"/>
  <c r="P176" i="4" s="1"/>
  <c r="O177" i="4"/>
  <c r="P177" i="4" s="1"/>
  <c r="O178" i="4"/>
  <c r="P178" i="4" s="1"/>
  <c r="O179" i="4"/>
  <c r="P179" i="4" s="1"/>
  <c r="O180" i="4"/>
  <c r="P180" i="4" s="1"/>
  <c r="O181" i="4"/>
  <c r="P181" i="4" s="1"/>
  <c r="O182" i="4"/>
  <c r="P182" i="4" s="1"/>
  <c r="O183" i="4"/>
  <c r="P183" i="4" s="1"/>
  <c r="O184" i="4"/>
  <c r="P184" i="4" s="1"/>
  <c r="O185" i="4"/>
  <c r="P185" i="4" s="1"/>
  <c r="O186" i="4"/>
  <c r="P186" i="4" s="1"/>
  <c r="O187" i="4"/>
  <c r="P187" i="4" s="1"/>
  <c r="O188" i="4"/>
  <c r="P188" i="4" s="1"/>
  <c r="O189" i="4"/>
  <c r="P189" i="4" s="1"/>
  <c r="O190" i="4"/>
  <c r="P190" i="4" s="1"/>
  <c r="O191" i="4"/>
  <c r="P191" i="4" s="1"/>
  <c r="O192" i="4"/>
  <c r="P192" i="4" s="1"/>
  <c r="O193" i="4"/>
  <c r="P193" i="4" s="1"/>
  <c r="O194" i="4"/>
  <c r="P194" i="4" s="1"/>
  <c r="O195" i="4"/>
  <c r="P195" i="4" s="1"/>
  <c r="O196" i="4"/>
  <c r="P196" i="4" s="1"/>
  <c r="O197" i="4"/>
  <c r="P197" i="4" s="1"/>
  <c r="O198" i="4"/>
  <c r="P198" i="4" s="1"/>
  <c r="O199" i="4"/>
  <c r="P199" i="4" s="1"/>
  <c r="O200" i="4"/>
  <c r="P200" i="4" s="1"/>
  <c r="O201" i="4"/>
  <c r="P201" i="4" s="1"/>
  <c r="O202" i="4"/>
  <c r="P202" i="4" s="1"/>
  <c r="O203" i="4"/>
  <c r="P203" i="4" s="1"/>
  <c r="O204" i="4"/>
  <c r="P204" i="4" s="1"/>
  <c r="O205" i="4"/>
  <c r="P205" i="4" s="1"/>
  <c r="O206" i="4"/>
  <c r="P206" i="4" s="1"/>
  <c r="O207" i="4"/>
  <c r="P207" i="4" s="1"/>
  <c r="O208" i="4"/>
  <c r="P208" i="4" s="1"/>
  <c r="O209" i="4"/>
  <c r="P209" i="4" s="1"/>
  <c r="O210" i="4"/>
  <c r="P210" i="4" s="1"/>
  <c r="O211" i="4"/>
  <c r="P211" i="4" s="1"/>
  <c r="O212" i="4"/>
  <c r="P212" i="4" s="1"/>
  <c r="O213" i="4"/>
  <c r="P213" i="4" s="1"/>
  <c r="O214" i="4"/>
  <c r="P214" i="4" s="1"/>
  <c r="O215" i="4"/>
  <c r="P215" i="4" s="1"/>
  <c r="O216" i="4"/>
  <c r="P216" i="4" s="1"/>
  <c r="O217" i="4"/>
  <c r="P217" i="4" s="1"/>
  <c r="O218" i="4"/>
  <c r="P218" i="4" s="1"/>
  <c r="O219" i="4"/>
  <c r="P219" i="4" s="1"/>
  <c r="O220" i="4"/>
  <c r="P220" i="4" s="1"/>
  <c r="O221" i="4"/>
  <c r="P221" i="4" s="1"/>
  <c r="O222" i="4"/>
  <c r="P222" i="4" s="1"/>
  <c r="O223" i="4"/>
  <c r="P223" i="4" s="1"/>
  <c r="O224" i="4"/>
  <c r="P224" i="4" s="1"/>
  <c r="O225" i="4"/>
  <c r="P225" i="4" s="1"/>
  <c r="O226" i="4"/>
  <c r="P226" i="4" s="1"/>
  <c r="O227" i="4"/>
  <c r="P227" i="4" s="1"/>
  <c r="O228" i="4"/>
  <c r="P228" i="4" s="1"/>
  <c r="O229" i="4"/>
  <c r="P229" i="4" s="1"/>
  <c r="O230" i="4"/>
  <c r="P230" i="4" s="1"/>
  <c r="O231" i="4"/>
  <c r="P231" i="4" s="1"/>
  <c r="O232" i="4"/>
  <c r="P232" i="4" s="1"/>
  <c r="O233" i="4"/>
  <c r="P233" i="4" s="1"/>
  <c r="O234" i="4"/>
  <c r="P234" i="4" s="1"/>
  <c r="O235" i="4"/>
  <c r="P235" i="4" s="1"/>
  <c r="O236" i="4"/>
  <c r="P236" i="4" s="1"/>
  <c r="O237" i="4"/>
  <c r="P237" i="4" s="1"/>
  <c r="O238" i="4"/>
  <c r="P238" i="4" s="1"/>
  <c r="O239" i="4"/>
  <c r="P239" i="4" s="1"/>
  <c r="O240" i="4"/>
  <c r="P240" i="4" s="1"/>
  <c r="O241" i="4"/>
  <c r="P241" i="4" s="1"/>
  <c r="O242" i="4"/>
  <c r="P242" i="4" s="1"/>
  <c r="O243" i="4"/>
  <c r="P243" i="4" s="1"/>
  <c r="O244" i="4"/>
  <c r="P244" i="4" s="1"/>
  <c r="O245" i="4"/>
  <c r="O246" i="4"/>
  <c r="P246" i="4" s="1"/>
  <c r="O247" i="4"/>
  <c r="P247" i="4" s="1"/>
  <c r="O248" i="4"/>
  <c r="P248" i="4" s="1"/>
  <c r="O249" i="4"/>
  <c r="O250" i="4"/>
  <c r="P250" i="4" s="1"/>
  <c r="O251" i="4"/>
  <c r="P251" i="4" s="1"/>
  <c r="O252" i="4"/>
  <c r="P252" i="4" s="1"/>
  <c r="O253" i="4"/>
  <c r="O254" i="4"/>
  <c r="P254" i="4" s="1"/>
  <c r="O255" i="4"/>
  <c r="P255" i="4" s="1"/>
  <c r="O256" i="4"/>
  <c r="P256" i="4" s="1"/>
  <c r="O257" i="4"/>
  <c r="O258" i="4"/>
  <c r="P258" i="4" s="1"/>
  <c r="O259" i="4"/>
  <c r="P259" i="4" s="1"/>
  <c r="O260" i="4"/>
  <c r="P260" i="4" s="1"/>
  <c r="O261" i="4"/>
  <c r="O262" i="4"/>
  <c r="P262" i="4" s="1"/>
  <c r="O263" i="4"/>
  <c r="P263" i="4" s="1"/>
  <c r="O264" i="4"/>
  <c r="P264" i="4" s="1"/>
  <c r="O265" i="4"/>
  <c r="O266" i="4"/>
  <c r="P266" i="4" s="1"/>
  <c r="O267" i="4"/>
  <c r="P267" i="4" s="1"/>
  <c r="O268" i="4"/>
  <c r="P268" i="4" s="1"/>
  <c r="O269" i="4"/>
  <c r="O270" i="4"/>
  <c r="P270" i="4" s="1"/>
  <c r="O271" i="4"/>
  <c r="P271" i="4" s="1"/>
  <c r="O272" i="4"/>
  <c r="P272" i="4" s="1"/>
  <c r="O273" i="4"/>
  <c r="O274" i="4"/>
  <c r="P274" i="4" s="1"/>
  <c r="O275" i="4"/>
  <c r="P275" i="4" s="1"/>
  <c r="O276" i="4"/>
  <c r="P276" i="4" s="1"/>
  <c r="O277" i="4"/>
  <c r="O278" i="4"/>
  <c r="P278" i="4" s="1"/>
  <c r="O279" i="4"/>
  <c r="P279" i="4" s="1"/>
  <c r="O280" i="4"/>
  <c r="P280" i="4" s="1"/>
  <c r="O281" i="4"/>
  <c r="O282" i="4"/>
  <c r="P282" i="4" s="1"/>
  <c r="O283" i="4"/>
  <c r="P283" i="4" s="1"/>
  <c r="O284" i="4"/>
  <c r="P284" i="4" s="1"/>
  <c r="O285" i="4"/>
  <c r="O286" i="4"/>
  <c r="P286" i="4" s="1"/>
  <c r="O287" i="4"/>
  <c r="P287" i="4" s="1"/>
  <c r="O288" i="4"/>
  <c r="P288" i="4" s="1"/>
  <c r="O289" i="4"/>
  <c r="O290" i="4"/>
  <c r="P290" i="4" s="1"/>
  <c r="O291" i="4"/>
  <c r="P291" i="4" s="1"/>
  <c r="O292" i="4"/>
  <c r="P292" i="4" s="1"/>
  <c r="O293" i="4"/>
  <c r="O294" i="4"/>
  <c r="P294" i="4" s="1"/>
  <c r="O295" i="4"/>
  <c r="P295" i="4" s="1"/>
  <c r="O296" i="4"/>
  <c r="P296" i="4" s="1"/>
  <c r="O297" i="4"/>
  <c r="O298" i="4"/>
  <c r="P298" i="4" s="1"/>
  <c r="O299" i="4"/>
  <c r="P299" i="4" s="1"/>
  <c r="O300" i="4"/>
  <c r="P300" i="4" s="1"/>
  <c r="O301" i="4"/>
  <c r="O302" i="4"/>
  <c r="P302" i="4" s="1"/>
  <c r="O303" i="4"/>
  <c r="P303" i="4" s="1"/>
  <c r="O304" i="4"/>
  <c r="P304" i="4" s="1"/>
  <c r="O305" i="4"/>
  <c r="O306" i="4"/>
  <c r="P306" i="4" s="1"/>
  <c r="O307" i="4"/>
  <c r="P307" i="4" s="1"/>
  <c r="O308" i="4"/>
  <c r="P308" i="4" s="1"/>
  <c r="O309" i="4"/>
  <c r="O310" i="4"/>
  <c r="P310" i="4" s="1"/>
  <c r="O311" i="4"/>
  <c r="P311" i="4" s="1"/>
  <c r="O312" i="4"/>
  <c r="P312" i="4" s="1"/>
  <c r="O313" i="4"/>
  <c r="O314" i="4"/>
  <c r="P314" i="4" s="1"/>
  <c r="O315" i="4"/>
  <c r="P315" i="4" s="1"/>
  <c r="O316" i="4"/>
  <c r="P316" i="4" s="1"/>
  <c r="O317" i="4"/>
  <c r="O318" i="4"/>
  <c r="P318" i="4" s="1"/>
  <c r="O319" i="4"/>
  <c r="P319" i="4" s="1"/>
  <c r="O320" i="4"/>
  <c r="P320" i="4" s="1"/>
  <c r="O321" i="4"/>
  <c r="O322" i="4"/>
  <c r="P322" i="4" s="1"/>
  <c r="O323" i="4"/>
  <c r="P323" i="4" s="1"/>
  <c r="O324" i="4"/>
  <c r="P324" i="4" s="1"/>
  <c r="O325" i="4"/>
  <c r="O326" i="4"/>
  <c r="P326" i="4" s="1"/>
  <c r="O327" i="4"/>
  <c r="P327" i="4" s="1"/>
  <c r="O328" i="4"/>
  <c r="P328" i="4" s="1"/>
  <c r="O329" i="4"/>
  <c r="O330" i="4"/>
  <c r="P330" i="4" s="1"/>
  <c r="O331" i="4"/>
  <c r="P331" i="4" s="1"/>
  <c r="O332" i="4"/>
  <c r="P332" i="4" s="1"/>
  <c r="O333" i="4"/>
  <c r="O334" i="4"/>
  <c r="P334" i="4" s="1"/>
  <c r="O335" i="4"/>
  <c r="P335" i="4" s="1"/>
  <c r="O336" i="4"/>
  <c r="P336" i="4" s="1"/>
  <c r="O337" i="4"/>
  <c r="O338" i="4"/>
  <c r="P338" i="4" s="1"/>
  <c r="O339" i="4"/>
  <c r="P339" i="4" s="1"/>
  <c r="O340" i="4"/>
  <c r="P340" i="4" s="1"/>
  <c r="O341" i="4"/>
  <c r="O342" i="4"/>
  <c r="P342" i="4" s="1"/>
  <c r="O343" i="4"/>
  <c r="P343" i="4" s="1"/>
  <c r="O344" i="4"/>
  <c r="P344" i="4" s="1"/>
  <c r="O345" i="4"/>
  <c r="O346" i="4"/>
  <c r="P346" i="4" s="1"/>
  <c r="O347" i="4"/>
  <c r="P347" i="4" s="1"/>
  <c r="O348" i="4"/>
  <c r="P348" i="4" s="1"/>
  <c r="O349" i="4"/>
  <c r="O350" i="4"/>
  <c r="P350" i="4" s="1"/>
  <c r="O351" i="4"/>
  <c r="P351" i="4" s="1"/>
  <c r="O352" i="4"/>
  <c r="P352" i="4" s="1"/>
  <c r="O353" i="4"/>
  <c r="O354" i="4"/>
  <c r="P354" i="4" s="1"/>
  <c r="O355" i="4"/>
  <c r="P355" i="4" s="1"/>
  <c r="O356" i="4"/>
  <c r="P356" i="4" s="1"/>
  <c r="O357" i="4"/>
  <c r="O358" i="4"/>
  <c r="P358" i="4" s="1"/>
  <c r="O359" i="4"/>
  <c r="P359" i="4" s="1"/>
  <c r="O360" i="4"/>
  <c r="P360" i="4" s="1"/>
  <c r="O361" i="4"/>
  <c r="O362" i="4"/>
  <c r="P362" i="4" s="1"/>
  <c r="O363" i="4"/>
  <c r="P363" i="4" s="1"/>
  <c r="O364" i="4"/>
  <c r="P364" i="4" s="1"/>
  <c r="O365" i="4"/>
  <c r="O366" i="4"/>
  <c r="P366" i="4" s="1"/>
  <c r="O367" i="4"/>
  <c r="P367" i="4" s="1"/>
  <c r="O368" i="4"/>
  <c r="P368" i="4" s="1"/>
  <c r="O369" i="4"/>
  <c r="O370" i="4"/>
  <c r="P370" i="4" s="1"/>
  <c r="O371" i="4"/>
  <c r="P371" i="4" s="1"/>
  <c r="O372" i="4"/>
  <c r="P372" i="4" s="1"/>
  <c r="O373" i="4"/>
  <c r="O374" i="4"/>
  <c r="P374" i="4" s="1"/>
  <c r="O375" i="4"/>
  <c r="P375" i="4" s="1"/>
  <c r="O376" i="4"/>
  <c r="P376" i="4" s="1"/>
  <c r="O377" i="4"/>
  <c r="O378" i="4"/>
  <c r="P378" i="4" s="1"/>
  <c r="O379" i="4"/>
  <c r="P379" i="4" s="1"/>
  <c r="O380" i="4"/>
  <c r="P380" i="4" s="1"/>
  <c r="O381" i="4"/>
  <c r="O382" i="4"/>
  <c r="P382" i="4" s="1"/>
  <c r="O383" i="4"/>
  <c r="P383" i="4" s="1"/>
  <c r="O384" i="4"/>
  <c r="P384" i="4" s="1"/>
  <c r="O385" i="4"/>
  <c r="O386" i="4"/>
  <c r="P386" i="4" s="1"/>
  <c r="O387" i="4"/>
  <c r="P387" i="4" s="1"/>
  <c r="O388" i="4"/>
  <c r="P388" i="4" s="1"/>
  <c r="O389" i="4"/>
  <c r="O390" i="4"/>
  <c r="P390" i="4" s="1"/>
  <c r="O391" i="4"/>
  <c r="P391" i="4" s="1"/>
  <c r="O392" i="4"/>
  <c r="P392" i="4" s="1"/>
  <c r="O393" i="4"/>
  <c r="O394" i="4"/>
  <c r="P394" i="4" s="1"/>
  <c r="O395" i="4"/>
  <c r="P395" i="4" s="1"/>
  <c r="O396" i="4"/>
  <c r="P396" i="4" s="1"/>
  <c r="O397" i="4"/>
  <c r="O398" i="4"/>
  <c r="P398" i="4" s="1"/>
  <c r="O399" i="4"/>
  <c r="P399" i="4" s="1"/>
  <c r="O400" i="4"/>
  <c r="P400" i="4" s="1"/>
  <c r="O401" i="4"/>
  <c r="O402" i="4"/>
  <c r="P402" i="4" s="1"/>
  <c r="O403" i="4"/>
  <c r="P403" i="4" s="1"/>
  <c r="O404" i="4"/>
  <c r="P404" i="4" s="1"/>
  <c r="O405" i="4"/>
  <c r="O406" i="4"/>
  <c r="P406" i="4" s="1"/>
  <c r="O407" i="4"/>
  <c r="P407" i="4" s="1"/>
  <c r="O408" i="4"/>
  <c r="P408" i="4" s="1"/>
  <c r="O409" i="4"/>
  <c r="O410" i="4"/>
  <c r="P410" i="4" s="1"/>
  <c r="O411" i="4"/>
  <c r="P411" i="4" s="1"/>
  <c r="O412" i="4"/>
  <c r="P412" i="4" s="1"/>
  <c r="O413" i="4"/>
  <c r="O414" i="4"/>
  <c r="P414" i="4" s="1"/>
  <c r="O415" i="4"/>
  <c r="P415" i="4" s="1"/>
  <c r="O416" i="4"/>
  <c r="P416" i="4" s="1"/>
  <c r="O417" i="4"/>
  <c r="O418" i="4"/>
  <c r="P418" i="4" s="1"/>
  <c r="O419" i="4"/>
  <c r="P419" i="4" s="1"/>
  <c r="O420" i="4"/>
  <c r="P420" i="4" s="1"/>
  <c r="O421" i="4"/>
  <c r="O422" i="4"/>
  <c r="P422" i="4" s="1"/>
  <c r="O423" i="4"/>
  <c r="P423" i="4" s="1"/>
  <c r="O424" i="4"/>
  <c r="P424" i="4" s="1"/>
  <c r="O425" i="4"/>
  <c r="O426" i="4"/>
  <c r="P426" i="4" s="1"/>
  <c r="O427" i="4"/>
  <c r="P427" i="4" s="1"/>
  <c r="O428" i="4"/>
  <c r="P428" i="4" s="1"/>
  <c r="O429" i="4"/>
  <c r="O430" i="4"/>
  <c r="P430" i="4" s="1"/>
  <c r="O431" i="4"/>
  <c r="P431" i="4" s="1"/>
  <c r="O432" i="4"/>
  <c r="P432" i="4" s="1"/>
  <c r="O433" i="4"/>
  <c r="O434" i="4"/>
  <c r="P434" i="4" s="1"/>
  <c r="O435" i="4"/>
  <c r="P435" i="4" s="1"/>
  <c r="O436" i="4"/>
  <c r="P436" i="4" s="1"/>
  <c r="O437" i="4"/>
  <c r="O438" i="4"/>
  <c r="P438" i="4" s="1"/>
  <c r="O439" i="4"/>
  <c r="P439" i="4" s="1"/>
  <c r="O440" i="4"/>
  <c r="P440" i="4" s="1"/>
  <c r="O441" i="4"/>
  <c r="O442" i="4"/>
  <c r="P442" i="4" s="1"/>
  <c r="O443" i="4"/>
  <c r="P443" i="4" s="1"/>
  <c r="O444" i="4"/>
  <c r="P444" i="4" s="1"/>
  <c r="O445" i="4"/>
  <c r="O446" i="4"/>
  <c r="P446" i="4" s="1"/>
  <c r="O447" i="4"/>
  <c r="P447" i="4" s="1"/>
  <c r="O448" i="4"/>
  <c r="P448" i="4" s="1"/>
  <c r="O449" i="4"/>
  <c r="O450" i="4"/>
  <c r="P450" i="4" s="1"/>
  <c r="O451" i="4"/>
  <c r="P451" i="4" s="1"/>
  <c r="O452" i="4"/>
  <c r="P452" i="4" s="1"/>
  <c r="O453" i="4"/>
  <c r="O454" i="4"/>
  <c r="P454" i="4" s="1"/>
  <c r="O455" i="4"/>
  <c r="P455" i="4" s="1"/>
  <c r="O456" i="4"/>
  <c r="P456" i="4" s="1"/>
  <c r="O457" i="4"/>
  <c r="O458" i="4"/>
  <c r="P458" i="4" s="1"/>
  <c r="O459" i="4"/>
  <c r="P459" i="4" s="1"/>
  <c r="O460" i="4"/>
  <c r="P460" i="4" s="1"/>
  <c r="O461" i="4"/>
  <c r="O462" i="4"/>
  <c r="P462" i="4" s="1"/>
  <c r="O463" i="4"/>
  <c r="P463" i="4" s="1"/>
  <c r="O464" i="4"/>
  <c r="P464" i="4" s="1"/>
  <c r="O465" i="4"/>
  <c r="O466" i="4"/>
  <c r="P466" i="4" s="1"/>
  <c r="O467" i="4"/>
  <c r="P467" i="4" s="1"/>
  <c r="O468" i="4"/>
  <c r="P468" i="4" s="1"/>
  <c r="O469" i="4"/>
  <c r="O470" i="4"/>
  <c r="P470" i="4" s="1"/>
  <c r="O471" i="4"/>
  <c r="P471" i="4" s="1"/>
  <c r="O472" i="4"/>
  <c r="P472" i="4" s="1"/>
  <c r="O473" i="4"/>
  <c r="O474" i="4"/>
  <c r="P474" i="4" s="1"/>
  <c r="O475" i="4"/>
  <c r="P475" i="4" s="1"/>
  <c r="O476" i="4"/>
  <c r="P476" i="4" s="1"/>
  <c r="O477" i="4"/>
  <c r="O478" i="4"/>
  <c r="P478" i="4" s="1"/>
  <c r="O479" i="4"/>
  <c r="P479" i="4" s="1"/>
  <c r="O480" i="4"/>
  <c r="P480" i="4" s="1"/>
  <c r="O481" i="4"/>
  <c r="P481" i="4" s="1"/>
  <c r="O482" i="4"/>
  <c r="P482" i="4" s="1"/>
  <c r="O483" i="4"/>
  <c r="P483" i="4" s="1"/>
  <c r="O484" i="4"/>
  <c r="P484" i="4" s="1"/>
  <c r="O485" i="4"/>
  <c r="P485" i="4" s="1"/>
  <c r="O486" i="4"/>
  <c r="P486" i="4" s="1"/>
  <c r="O487" i="4"/>
  <c r="P487" i="4" s="1"/>
  <c r="O488" i="4"/>
  <c r="P488" i="4" s="1"/>
  <c r="O489" i="4"/>
  <c r="P489" i="4" s="1"/>
  <c r="O490" i="4"/>
  <c r="P490" i="4" s="1"/>
  <c r="O491" i="4"/>
  <c r="P491" i="4" s="1"/>
  <c r="O492" i="4"/>
  <c r="P492" i="4" s="1"/>
  <c r="O493" i="4"/>
  <c r="P493" i="4" s="1"/>
  <c r="O494" i="4"/>
  <c r="P494" i="4" s="1"/>
  <c r="O495" i="4"/>
  <c r="P495" i="4" s="1"/>
  <c r="O496" i="4"/>
  <c r="P496" i="4" s="1"/>
  <c r="O497" i="4"/>
  <c r="P497" i="4" s="1"/>
  <c r="O498" i="4"/>
  <c r="P498" i="4" s="1"/>
  <c r="O499" i="4"/>
  <c r="P499" i="4" s="1"/>
  <c r="O500" i="4"/>
  <c r="O501" i="4"/>
  <c r="O502" i="4"/>
  <c r="O2" i="4"/>
  <c r="Q34"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2" i="4"/>
  <c r="P500" i="4"/>
  <c r="P501" i="4"/>
  <c r="P502" i="4"/>
  <c r="F1048557" i="4" a="1"/>
  <c r="F1048557" i="4" s="1"/>
  <c r="F1048560" i="4"/>
  <c r="F1048559" i="4" a="1"/>
  <c r="F1048559" i="4" s="1"/>
  <c r="F1048558" i="4" a="1"/>
  <c r="F1048558" i="4" s="1"/>
  <c r="F1048556" i="4" a="1"/>
  <c r="F1048556" i="4" s="1"/>
  <c r="S34" i="4" l="1"/>
  <c r="T2" i="4" a="1"/>
  <c r="T2" i="4" s="1"/>
  <c r="S2" i="4"/>
  <c r="Q2" i="4"/>
  <c r="P2" i="4"/>
  <c r="Q31" i="4"/>
  <c r="S31" i="4" s="1"/>
  <c r="P31" i="4"/>
  <c r="Q23" i="4"/>
  <c r="S23" i="4" s="1"/>
  <c r="P23" i="4"/>
  <c r="Q3" i="4"/>
  <c r="S3" i="4" s="1"/>
  <c r="P3" i="4"/>
  <c r="Q11" i="4"/>
  <c r="S11" i="4" s="1"/>
  <c r="P27" i="4"/>
  <c r="Q19" i="4"/>
  <c r="S19" i="4" s="1"/>
  <c r="P19" i="4"/>
  <c r="Q15" i="4"/>
  <c r="S15" i="4" s="1"/>
  <c r="P15" i="4"/>
  <c r="Q7" i="4"/>
  <c r="S7" i="4" s="1"/>
  <c r="P7" i="4"/>
  <c r="Q30" i="4"/>
  <c r="S30" i="4" s="1"/>
  <c r="P30" i="4"/>
  <c r="Q26" i="4"/>
  <c r="S26" i="4" s="1"/>
  <c r="P26" i="4"/>
  <c r="Q22" i="4"/>
  <c r="S22" i="4" s="1"/>
  <c r="P22" i="4"/>
  <c r="Q18" i="4"/>
  <c r="S18" i="4" s="1"/>
  <c r="P18" i="4"/>
  <c r="Q14" i="4"/>
  <c r="S14" i="4" s="1"/>
  <c r="P14" i="4"/>
  <c r="Q10" i="4"/>
  <c r="S10" i="4" s="1"/>
  <c r="P10" i="4"/>
  <c r="Q6" i="4"/>
  <c r="S6" i="4" s="1"/>
  <c r="P6" i="4"/>
  <c r="Q33" i="4"/>
  <c r="S33" i="4" s="1"/>
  <c r="P33" i="4"/>
  <c r="Q29" i="4"/>
  <c r="S29" i="4" s="1"/>
  <c r="P29" i="4"/>
  <c r="Q25" i="4"/>
  <c r="S25" i="4" s="1"/>
  <c r="P25" i="4"/>
  <c r="Q21" i="4"/>
  <c r="S21" i="4" s="1"/>
  <c r="P21" i="4"/>
  <c r="Q17" i="4"/>
  <c r="S17" i="4" s="1"/>
  <c r="P17" i="4"/>
  <c r="Q13" i="4"/>
  <c r="S13" i="4" s="1"/>
  <c r="P13" i="4"/>
  <c r="Q9" i="4"/>
  <c r="S9" i="4" s="1"/>
  <c r="P9" i="4"/>
  <c r="Q5" i="4"/>
  <c r="S5" i="4" s="1"/>
  <c r="P5" i="4"/>
  <c r="Q32" i="4"/>
  <c r="S32" i="4" s="1"/>
  <c r="P32" i="4"/>
  <c r="Q28" i="4"/>
  <c r="S28" i="4" s="1"/>
  <c r="P28" i="4"/>
  <c r="Q24" i="4"/>
  <c r="S24" i="4" s="1"/>
  <c r="P24" i="4"/>
  <c r="Q20" i="4"/>
  <c r="S20" i="4" s="1"/>
  <c r="P20" i="4"/>
  <c r="Q16" i="4"/>
  <c r="S16" i="4" s="1"/>
  <c r="P16" i="4"/>
  <c r="Q12" i="4"/>
  <c r="S12" i="4" s="1"/>
  <c r="P12" i="4"/>
  <c r="Q8" i="4"/>
  <c r="S8" i="4" s="1"/>
  <c r="P8" i="4"/>
  <c r="Q4" i="4"/>
  <c r="S4" i="4" s="1"/>
  <c r="P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415E50-1759-48D8-A638-107FF2798460}" keepAlive="1" name="Query - Table2" description="Connection to the 'Table2' query in the workbook." type="5" refreshedVersion="0" background="1">
    <dbPr connection="Provider=Microsoft.Mashup.OleDb.1;Data Source=$Workbook$;Location=Table2;Extended Properties=&quot;&quot;" command="SELECT * FROM [Table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<sst xmlns="http://schemas.openxmlformats.org/spreadsheetml/2006/main" count="7581" uniqueCount="884">
  <si>
    <t>Order_ID</t>
  </si>
  <si>
    <t>Order_Date</t>
  </si>
  <si>
    <t>Customer_Name</t>
  </si>
  <si>
    <t>Gender</t>
  </si>
  <si>
    <t>City</t>
  </si>
  <si>
    <t>Category</t>
  </si>
  <si>
    <t>Product</t>
  </si>
  <si>
    <t>Quantity</t>
  </si>
  <si>
    <t>Unit_Price</t>
  </si>
  <si>
    <t>Discount</t>
  </si>
  <si>
    <t>Cost</t>
  </si>
  <si>
    <t>Payment_Mode</t>
  </si>
  <si>
    <t>ORD1001</t>
  </si>
  <si>
    <t>24-11-2025</t>
  </si>
  <si>
    <t>Priya</t>
  </si>
  <si>
    <t>Male</t>
  </si>
  <si>
    <t>Hyderabad</t>
  </si>
  <si>
    <t>Grocery</t>
  </si>
  <si>
    <t>Wheat Flour</t>
  </si>
  <si>
    <t>Net Banking</t>
  </si>
  <si>
    <t>ORD1002</t>
  </si>
  <si>
    <t>14-02-2025</t>
  </si>
  <si>
    <t>Suresh</t>
  </si>
  <si>
    <t>Female</t>
  </si>
  <si>
    <t>Chennai</t>
  </si>
  <si>
    <t>Electronics</t>
  </si>
  <si>
    <t>Wireless Mouse</t>
  </si>
  <si>
    <t>UPI</t>
  </si>
  <si>
    <t>ORD1003</t>
  </si>
  <si>
    <t>15-10-2025</t>
  </si>
  <si>
    <t>Shahina</t>
  </si>
  <si>
    <t>Bangalore</t>
  </si>
  <si>
    <t>Home</t>
  </si>
  <si>
    <t>Curtains</t>
  </si>
  <si>
    <t>Cash</t>
  </si>
  <si>
    <t>ORD1004</t>
  </si>
  <si>
    <t>24-12-2025</t>
  </si>
  <si>
    <t>Anitha</t>
  </si>
  <si>
    <t>Salem</t>
  </si>
  <si>
    <t>Clothing</t>
  </si>
  <si>
    <t>Jeans</t>
  </si>
  <si>
    <t>ORD1005</t>
  </si>
  <si>
    <t>03-07-2025</t>
  </si>
  <si>
    <t>Rahul</t>
  </si>
  <si>
    <t>Credit Card</t>
  </si>
  <si>
    <t>ORD1006</t>
  </si>
  <si>
    <t>18-11-2025</t>
  </si>
  <si>
    <t>Madurai</t>
  </si>
  <si>
    <t>T-Shirt</t>
  </si>
  <si>
    <t>ORD1007</t>
  </si>
  <si>
    <t>30-04-2025</t>
  </si>
  <si>
    <t>Storage Box</t>
  </si>
  <si>
    <t>ORD1008</t>
  </si>
  <si>
    <t>26-12-2025</t>
  </si>
  <si>
    <t>ORD1009</t>
  </si>
  <si>
    <t>23-04-2025</t>
  </si>
  <si>
    <t>Headphones</t>
  </si>
  <si>
    <t>ORD1010</t>
  </si>
  <si>
    <t>11-06-2025</t>
  </si>
  <si>
    <t>Coimbatore</t>
  </si>
  <si>
    <t>Bedsheet</t>
  </si>
  <si>
    <t>ORD1011</t>
  </si>
  <si>
    <t>03-10-2025</t>
  </si>
  <si>
    <t>Divya</t>
  </si>
  <si>
    <t>ORD1012</t>
  </si>
  <si>
    <t>25-01-2025</t>
  </si>
  <si>
    <t>Kurti</t>
  </si>
  <si>
    <t>Debit Card</t>
  </si>
  <si>
    <t>ORD1013</t>
  </si>
  <si>
    <t>28-09-2025</t>
  </si>
  <si>
    <t>Power Bank</t>
  </si>
  <si>
    <t>ORD1014</t>
  </si>
  <si>
    <t>22-03-2025</t>
  </si>
  <si>
    <t>Vijay</t>
  </si>
  <si>
    <t>Tea</t>
  </si>
  <si>
    <t>ORD1015</t>
  </si>
  <si>
    <t>Meena</t>
  </si>
  <si>
    <t>ORD1016</t>
  </si>
  <si>
    <t>27-02-2025</t>
  </si>
  <si>
    <t>Keyboard</t>
  </si>
  <si>
    <t>ORD1017</t>
  </si>
  <si>
    <t>30-09-2025</t>
  </si>
  <si>
    <t>Kumar</t>
  </si>
  <si>
    <t>ORD1018</t>
  </si>
  <si>
    <t>05-08-2025</t>
  </si>
  <si>
    <t xml:space="preserve"> Hyderabad </t>
  </si>
  <si>
    <t>Sugar</t>
  </si>
  <si>
    <t>ORD1019</t>
  </si>
  <si>
    <t>03-03-2025</t>
  </si>
  <si>
    <t>Rice</t>
  </si>
  <si>
    <t>ORD1020</t>
  </si>
  <si>
    <t>29-12-2025</t>
  </si>
  <si>
    <t>Arun</t>
  </si>
  <si>
    <t>ORD1021</t>
  </si>
  <si>
    <t>20-04-2025</t>
  </si>
  <si>
    <t>ORD1022</t>
  </si>
  <si>
    <t>04-12-2025</t>
  </si>
  <si>
    <t>Lamp</t>
  </si>
  <si>
    <t>ORD1023</t>
  </si>
  <si>
    <t>25-02-2025</t>
  </si>
  <si>
    <t>ORD1024</t>
  </si>
  <si>
    <t>08-02-2025</t>
  </si>
  <si>
    <t>ORD1025</t>
  </si>
  <si>
    <t>Water Bottle</t>
  </si>
  <si>
    <t>ORD1026</t>
  </si>
  <si>
    <t>27-05-2025</t>
  </si>
  <si>
    <t>Shirt</t>
  </si>
  <si>
    <t>ORD1027</t>
  </si>
  <si>
    <t>01-02-2025</t>
  </si>
  <si>
    <t>ORD1028</t>
  </si>
  <si>
    <t>06-04-2025</t>
  </si>
  <si>
    <t>ORD1029</t>
  </si>
  <si>
    <t>21-01-2025</t>
  </si>
  <si>
    <t>Cooking Oil</t>
  </si>
  <si>
    <t>ORD1030</t>
  </si>
  <si>
    <t>09-03-2025</t>
  </si>
  <si>
    <t>ORD1031</t>
  </si>
  <si>
    <t>07-02-2025</t>
  </si>
  <si>
    <t>ORD1032</t>
  </si>
  <si>
    <t>26-05-2025</t>
  </si>
  <si>
    <t>GROCERY</t>
  </si>
  <si>
    <t>ORD1033</t>
  </si>
  <si>
    <t>10-03-2025</t>
  </si>
  <si>
    <t>ORD1034</t>
  </si>
  <si>
    <t>15-04-2025</t>
  </si>
  <si>
    <t>ORD1035</t>
  </si>
  <si>
    <t>08-03-2025</t>
  </si>
  <si>
    <t>ORD1036</t>
  </si>
  <si>
    <t>20-12-2025</t>
  </si>
  <si>
    <t>ORD1037</t>
  </si>
  <si>
    <t>ORD1038</t>
  </si>
  <si>
    <t>25-03-2025</t>
  </si>
  <si>
    <t>ORD1039</t>
  </si>
  <si>
    <t>15-07-2025</t>
  </si>
  <si>
    <t>ORD1040</t>
  </si>
  <si>
    <t>25-04-2025</t>
  </si>
  <si>
    <t>ORD1041</t>
  </si>
  <si>
    <t>24-07-2025</t>
  </si>
  <si>
    <t>ORD1042</t>
  </si>
  <si>
    <t>20-01-2025</t>
  </si>
  <si>
    <t>ORD1043</t>
  </si>
  <si>
    <t>11-05-2025</t>
  </si>
  <si>
    <t>ORD1044</t>
  </si>
  <si>
    <t>16-11-2025</t>
  </si>
  <si>
    <t>ORD1045</t>
  </si>
  <si>
    <t>11-10-2025</t>
  </si>
  <si>
    <t>ORD1046</t>
  </si>
  <si>
    <t>06/05/2025</t>
  </si>
  <si>
    <t>ORD1047</t>
  </si>
  <si>
    <t>31-08-2025</t>
  </si>
  <si>
    <t>ORD1048</t>
  </si>
  <si>
    <t>17-03-2025</t>
  </si>
  <si>
    <t>ORD1049</t>
  </si>
  <si>
    <t>10-04-2025</t>
  </si>
  <si>
    <t>ORD1050</t>
  </si>
  <si>
    <t>01-04-2025</t>
  </si>
  <si>
    <t>ORD1051</t>
  </si>
  <si>
    <t>14-10-2025</t>
  </si>
  <si>
    <t>ORD1052</t>
  </si>
  <si>
    <t>19-08-2025</t>
  </si>
  <si>
    <t>ORD1053</t>
  </si>
  <si>
    <t>ORD1054</t>
  </si>
  <si>
    <t>22-12-2025</t>
  </si>
  <si>
    <t>ORD1055</t>
  </si>
  <si>
    <t>16-04-2025</t>
  </si>
  <si>
    <t>ORD1056</t>
  </si>
  <si>
    <t>02-06-2025</t>
  </si>
  <si>
    <t>ORD1057</t>
  </si>
  <si>
    <t>19-07-2025</t>
  </si>
  <si>
    <t>ORD1058</t>
  </si>
  <si>
    <t>31-10-2025</t>
  </si>
  <si>
    <t>ORD1059</t>
  </si>
  <si>
    <t>17-06-2025</t>
  </si>
  <si>
    <t>ORD1060</t>
  </si>
  <si>
    <t>29-08-2025</t>
  </si>
  <si>
    <t>ORD1061</t>
  </si>
  <si>
    <t>11-01-2025</t>
  </si>
  <si>
    <t>ORD1062</t>
  </si>
  <si>
    <t>25-12-2025</t>
  </si>
  <si>
    <t>ORD1063</t>
  </si>
  <si>
    <t>22-10-2025</t>
  </si>
  <si>
    <t>ORD1064</t>
  </si>
  <si>
    <t>17-12-2025</t>
  </si>
  <si>
    <t>ORD1065</t>
  </si>
  <si>
    <t>07-01-2025</t>
  </si>
  <si>
    <t>ORD1066</t>
  </si>
  <si>
    <t>30-11-2025</t>
  </si>
  <si>
    <t>ORD1067</t>
  </si>
  <si>
    <t>23-05-2025</t>
  </si>
  <si>
    <t>ORD1068</t>
  </si>
  <si>
    <t>07-09-2025</t>
  </si>
  <si>
    <t>ORD1069</t>
  </si>
  <si>
    <t>13-02-2025</t>
  </si>
  <si>
    <t>ORD1070</t>
  </si>
  <si>
    <t>31-05-2025</t>
  </si>
  <si>
    <t>ORD1071</t>
  </si>
  <si>
    <t>06-08-2025</t>
  </si>
  <si>
    <t>ORD1072</t>
  </si>
  <si>
    <t>ORD1073</t>
  </si>
  <si>
    <t>02-11-2025</t>
  </si>
  <si>
    <t>ORD1074</t>
  </si>
  <si>
    <t>06-03-2025</t>
  </si>
  <si>
    <t>ORD1075</t>
  </si>
  <si>
    <t>ORD1076</t>
  </si>
  <si>
    <t>28-02-2025</t>
  </si>
  <si>
    <t>ORD1077</t>
  </si>
  <si>
    <t>05-06-2025</t>
  </si>
  <si>
    <t>ORD1078</t>
  </si>
  <si>
    <t>ORD1079</t>
  </si>
  <si>
    <t>05-12-2025</t>
  </si>
  <si>
    <t>Jacket</t>
  </si>
  <si>
    <t>ORD1080</t>
  </si>
  <si>
    <t>19-12-2025</t>
  </si>
  <si>
    <t>ORD1081</t>
  </si>
  <si>
    <t>06-02-2025</t>
  </si>
  <si>
    <t>ORD1082</t>
  </si>
  <si>
    <t>17-05-2025</t>
  </si>
  <si>
    <t>ORD1083</t>
  </si>
  <si>
    <t>ORD1084</t>
  </si>
  <si>
    <t>15-06-2025</t>
  </si>
  <si>
    <t>ORD1085</t>
  </si>
  <si>
    <t xml:space="preserve"> Salem </t>
  </si>
  <si>
    <t>ORD1086</t>
  </si>
  <si>
    <t>28-06-2025</t>
  </si>
  <si>
    <t>ORD1087</t>
  </si>
  <si>
    <t>06-12-2025</t>
  </si>
  <si>
    <t>ORD1088</t>
  </si>
  <si>
    <t>21-09-2025</t>
  </si>
  <si>
    <t>ORD1089</t>
  </si>
  <si>
    <t>27-01-2025</t>
  </si>
  <si>
    <t>ORD1090</t>
  </si>
  <si>
    <t>03-05-2025</t>
  </si>
  <si>
    <t>ORD1091</t>
  </si>
  <si>
    <t>25-08-2025</t>
  </si>
  <si>
    <t>ORD1092</t>
  </si>
  <si>
    <t>05-05-2025</t>
  </si>
  <si>
    <t>ORD1093</t>
  </si>
  <si>
    <t>24-06-2025</t>
  </si>
  <si>
    <t>ORD1094</t>
  </si>
  <si>
    <t>26-06-2025</t>
  </si>
  <si>
    <t>ORD1095</t>
  </si>
  <si>
    <t>23-01-2025</t>
  </si>
  <si>
    <t>ORD1096</t>
  </si>
  <si>
    <t>15-09-2025</t>
  </si>
  <si>
    <t>ORD1097</t>
  </si>
  <si>
    <t>02-12-2025</t>
  </si>
  <si>
    <t>ORD1098</t>
  </si>
  <si>
    <t>14-07-2025</t>
  </si>
  <si>
    <t>ORD1099</t>
  </si>
  <si>
    <t>27-04-2025</t>
  </si>
  <si>
    <t>USB Cable</t>
  </si>
  <si>
    <t>ORD1100</t>
  </si>
  <si>
    <t>16-06-2025</t>
  </si>
  <si>
    <t>ORD1101</t>
  </si>
  <si>
    <t>16-12-2025</t>
  </si>
  <si>
    <t>ORD1102</t>
  </si>
  <si>
    <t>26-10-2025</t>
  </si>
  <si>
    <t>ORD1103</t>
  </si>
  <si>
    <t>28-05-2025</t>
  </si>
  <si>
    <t>ORD1104</t>
  </si>
  <si>
    <t>04-06-2025</t>
  </si>
  <si>
    <t>ORD1105</t>
  </si>
  <si>
    <t>ORD1106</t>
  </si>
  <si>
    <t>07-11-2025</t>
  </si>
  <si>
    <t>ORD1107</t>
  </si>
  <si>
    <t>ORD1108</t>
  </si>
  <si>
    <t>ORD1109</t>
  </si>
  <si>
    <t>26-03-2025</t>
  </si>
  <si>
    <t>ORD1110</t>
  </si>
  <si>
    <t>13-12-2025</t>
  </si>
  <si>
    <t>ORD1111</t>
  </si>
  <si>
    <t>11-12-2025</t>
  </si>
  <si>
    <t>ORD1112</t>
  </si>
  <si>
    <t>ORD1113</t>
  </si>
  <si>
    <t>ORD1114</t>
  </si>
  <si>
    <t>03-08-2025</t>
  </si>
  <si>
    <t>ORD1115</t>
  </si>
  <si>
    <t>22-04-2025</t>
  </si>
  <si>
    <t>ORD1116</t>
  </si>
  <si>
    <t>ORD1117</t>
  </si>
  <si>
    <t>ORD1118</t>
  </si>
  <si>
    <t>17-04-2025</t>
  </si>
  <si>
    <t>ORD1119</t>
  </si>
  <si>
    <t>ORD1120</t>
  </si>
  <si>
    <t>29-10-2025</t>
  </si>
  <si>
    <t>ORD1121</t>
  </si>
  <si>
    <t>01-09-2025</t>
  </si>
  <si>
    <t>ORD1122</t>
  </si>
  <si>
    <t>ORD1123</t>
  </si>
  <si>
    <t>ORD1124</t>
  </si>
  <si>
    <t>08-10-2025</t>
  </si>
  <si>
    <t>ORD1125</t>
  </si>
  <si>
    <t>ORD1126</t>
  </si>
  <si>
    <t>01-08-2025</t>
  </si>
  <si>
    <t>ORD1127</t>
  </si>
  <si>
    <t>04-02-2025</t>
  </si>
  <si>
    <t>ORD1128</t>
  </si>
  <si>
    <t>ORD1129</t>
  </si>
  <si>
    <t>ORD1130</t>
  </si>
  <si>
    <t>ORD1131</t>
  </si>
  <si>
    <t>11-11-2025</t>
  </si>
  <si>
    <t>ORD1132</t>
  </si>
  <si>
    <t>23-06-2025</t>
  </si>
  <si>
    <t>ORD1133</t>
  </si>
  <si>
    <t>16-02-2025</t>
  </si>
  <si>
    <t>ORD1134</t>
  </si>
  <si>
    <t>18-10-2025</t>
  </si>
  <si>
    <t>ORD1135</t>
  </si>
  <si>
    <t>06-09-2025</t>
  </si>
  <si>
    <t>ORD1136</t>
  </si>
  <si>
    <t>14-12-2025</t>
  </si>
  <si>
    <t>ORD1137</t>
  </si>
  <si>
    <t>04-01-2025</t>
  </si>
  <si>
    <t>ORD1138</t>
  </si>
  <si>
    <t>09-08-2025</t>
  </si>
  <si>
    <t>ORD1139</t>
  </si>
  <si>
    <t>12-08-2025</t>
  </si>
  <si>
    <t>ORD1140</t>
  </si>
  <si>
    <t>29-05-2025</t>
  </si>
  <si>
    <t>ORD1141</t>
  </si>
  <si>
    <t>ORD1142</t>
  </si>
  <si>
    <t>09-02-2025</t>
  </si>
  <si>
    <t>ORD1143</t>
  </si>
  <si>
    <t>12-05-2025</t>
  </si>
  <si>
    <t>CLOTHING</t>
  </si>
  <si>
    <t>ORD1144</t>
  </si>
  <si>
    <t>24-10-2025</t>
  </si>
  <si>
    <t>ORD1145</t>
  </si>
  <si>
    <t>21-05-2025</t>
  </si>
  <si>
    <t>ORD1146</t>
  </si>
  <si>
    <t>ORD1147</t>
  </si>
  <si>
    <t>ORD1148</t>
  </si>
  <si>
    <t>ORD1149</t>
  </si>
  <si>
    <t>06-07-2025</t>
  </si>
  <si>
    <t>ORD1150</t>
  </si>
  <si>
    <t>13-10-2025</t>
  </si>
  <si>
    <t>ORD1151</t>
  </si>
  <si>
    <t>08-06-2025</t>
  </si>
  <si>
    <t>ORD1152</t>
  </si>
  <si>
    <t>17-02-2025</t>
  </si>
  <si>
    <t>ORD1153</t>
  </si>
  <si>
    <t>09-04-2025</t>
  </si>
  <si>
    <t>ORD1154</t>
  </si>
  <si>
    <t>ORD1155</t>
  </si>
  <si>
    <t>ORD1156</t>
  </si>
  <si>
    <t>ORD1157</t>
  </si>
  <si>
    <t>25-05-2025</t>
  </si>
  <si>
    <t>ORD1158</t>
  </si>
  <si>
    <t>10-07-2025</t>
  </si>
  <si>
    <t>ORD1159</t>
  </si>
  <si>
    <t>ORD1160</t>
  </si>
  <si>
    <t>11-07-2025</t>
  </si>
  <si>
    <t>ORD1161</t>
  </si>
  <si>
    <t>16-03-2025</t>
  </si>
  <si>
    <t>ORD1162</t>
  </si>
  <si>
    <t>10-01-2025</t>
  </si>
  <si>
    <t>ORD1163</t>
  </si>
  <si>
    <t>ORD1164</t>
  </si>
  <si>
    <t>30-05-2025</t>
  </si>
  <si>
    <t>ORD1165</t>
  </si>
  <si>
    <t>26-09-2025</t>
  </si>
  <si>
    <t>ORD1166</t>
  </si>
  <si>
    <t>10-05-2025</t>
  </si>
  <si>
    <t>ORD1167</t>
  </si>
  <si>
    <t>ORD1168</t>
  </si>
  <si>
    <t>02-02-2025</t>
  </si>
  <si>
    <t>ORD1169</t>
  </si>
  <si>
    <t>ORD1170</t>
  </si>
  <si>
    <t>ORD1171</t>
  </si>
  <si>
    <t>ORD1172</t>
  </si>
  <si>
    <t>ORD1173</t>
  </si>
  <si>
    <t>06-06-2025</t>
  </si>
  <si>
    <t>ORD1174</t>
  </si>
  <si>
    <t>ORD1175</t>
  </si>
  <si>
    <t>16-01-2025</t>
  </si>
  <si>
    <t>ORD1176</t>
  </si>
  <si>
    <t>17-01-2025</t>
  </si>
  <si>
    <t>ORD1177</t>
  </si>
  <si>
    <t>12-03-2025</t>
  </si>
  <si>
    <t>ORD1178</t>
  </si>
  <si>
    <t>13-09-2025</t>
  </si>
  <si>
    <t>ORD1179</t>
  </si>
  <si>
    <t>ORD1180</t>
  </si>
  <si>
    <t>ORD1181</t>
  </si>
  <si>
    <t>05-07-2025</t>
  </si>
  <si>
    <t>ORD1182</t>
  </si>
  <si>
    <t>21-10-2025</t>
  </si>
  <si>
    <t>ORD1183</t>
  </si>
  <si>
    <t>27-09-2025</t>
  </si>
  <si>
    <t>ORD1184</t>
  </si>
  <si>
    <t>ORD1185</t>
  </si>
  <si>
    <t>ORD1186</t>
  </si>
  <si>
    <t>ORD1187</t>
  </si>
  <si>
    <t>29-03-2025</t>
  </si>
  <si>
    <t>ORD1188</t>
  </si>
  <si>
    <t>16-05-2025</t>
  </si>
  <si>
    <t>ORD1189</t>
  </si>
  <si>
    <t>2025/06/02</t>
  </si>
  <si>
    <t>ORD1190</t>
  </si>
  <si>
    <t>ORD1191</t>
  </si>
  <si>
    <t>ORD1192</t>
  </si>
  <si>
    <t>26-01-2025</t>
  </si>
  <si>
    <t>ORD1193</t>
  </si>
  <si>
    <t>08-04-2025</t>
  </si>
  <si>
    <t>ORD1194</t>
  </si>
  <si>
    <t>16-09-2025</t>
  </si>
  <si>
    <t>ORD1195</t>
  </si>
  <si>
    <t>ORD1196</t>
  </si>
  <si>
    <t>24-01-2025</t>
  </si>
  <si>
    <t>ORD1197</t>
  </si>
  <si>
    <t>09-10-2025</t>
  </si>
  <si>
    <t>ORD1198</t>
  </si>
  <si>
    <t>15-03-2025</t>
  </si>
  <si>
    <t>ORD1199</t>
  </si>
  <si>
    <t>23-09-2025</t>
  </si>
  <si>
    <t>ORD1200</t>
  </si>
  <si>
    <t>03-06-2025</t>
  </si>
  <si>
    <t>ORD1201</t>
  </si>
  <si>
    <t>19-06-2025</t>
  </si>
  <si>
    <t>ORD1202</t>
  </si>
  <si>
    <t>23-10-2025</t>
  </si>
  <si>
    <t>ORD1203</t>
  </si>
  <si>
    <t>ORD1204</t>
  </si>
  <si>
    <t>30-07-2025</t>
  </si>
  <si>
    <t>ORD1205</t>
  </si>
  <si>
    <t>ORD1206</t>
  </si>
  <si>
    <t>09-11-2025</t>
  </si>
  <si>
    <t>ORD1207</t>
  </si>
  <si>
    <t>ORD1208</t>
  </si>
  <si>
    <t>ORD1209</t>
  </si>
  <si>
    <t>ORD1210</t>
  </si>
  <si>
    <t>ORD1211</t>
  </si>
  <si>
    <t>ORD1212</t>
  </si>
  <si>
    <t>02-09-2025</t>
  </si>
  <si>
    <t>ORD1213</t>
  </si>
  <si>
    <t>31-03-2025</t>
  </si>
  <si>
    <t>ORD1214</t>
  </si>
  <si>
    <t>ORD1215</t>
  </si>
  <si>
    <t>20-05-2025</t>
  </si>
  <si>
    <t>ORD1216</t>
  </si>
  <si>
    <t>01-06-2025</t>
  </si>
  <si>
    <t>ORD1217</t>
  </si>
  <si>
    <t>05-04-2025</t>
  </si>
  <si>
    <t>ORD1218</t>
  </si>
  <si>
    <t>18-06-2025</t>
  </si>
  <si>
    <t>ORD1219</t>
  </si>
  <si>
    <t>27-07-2025</t>
  </si>
  <si>
    <t>ORD1220</t>
  </si>
  <si>
    <t>ORD1221</t>
  </si>
  <si>
    <t>07-05-2025</t>
  </si>
  <si>
    <t>ORD1222</t>
  </si>
  <si>
    <t>ORD1223</t>
  </si>
  <si>
    <t>ORD1224</t>
  </si>
  <si>
    <t>16-10-2025</t>
  </si>
  <si>
    <t>ORD1225</t>
  </si>
  <si>
    <t>ORD1226</t>
  </si>
  <si>
    <t>ORD1227</t>
  </si>
  <si>
    <t>12-07-2025</t>
  </si>
  <si>
    <t>ORD1228</t>
  </si>
  <si>
    <t>ORD1229</t>
  </si>
  <si>
    <t>ORD1230</t>
  </si>
  <si>
    <t>ORD1231</t>
  </si>
  <si>
    <t>06-05-2025</t>
  </si>
  <si>
    <t>ORD1232</t>
  </si>
  <si>
    <t>ORD1233</t>
  </si>
  <si>
    <t>24-04-2025</t>
  </si>
  <si>
    <t>ORD1234</t>
  </si>
  <si>
    <t>ORD1235</t>
  </si>
  <si>
    <t>ORD1236</t>
  </si>
  <si>
    <t>ORD1237</t>
  </si>
  <si>
    <t>09-07-2025</t>
  </si>
  <si>
    <t>ORD1238</t>
  </si>
  <si>
    <t>10-12-2025</t>
  </si>
  <si>
    <t>ORD1239</t>
  </si>
  <si>
    <t>02-03-2025</t>
  </si>
  <si>
    <t>ORD1240</t>
  </si>
  <si>
    <t>ORD1241</t>
  </si>
  <si>
    <t>13-06-2025</t>
  </si>
  <si>
    <t>ORD1242</t>
  </si>
  <si>
    <t>27-10-2025</t>
  </si>
  <si>
    <t>ORD1243</t>
  </si>
  <si>
    <t>ORD1244</t>
  </si>
  <si>
    <t>28-03-2025</t>
  </si>
  <si>
    <t>ORD1245</t>
  </si>
  <si>
    <t>ORD1246</t>
  </si>
  <si>
    <t>ORD1247</t>
  </si>
  <si>
    <t>09-01-2025</t>
  </si>
  <si>
    <t>ORD1248</t>
  </si>
  <si>
    <t>ORD1249</t>
  </si>
  <si>
    <t>24-08-2025</t>
  </si>
  <si>
    <t>ORD1250</t>
  </si>
  <si>
    <t>13-07-2025</t>
  </si>
  <si>
    <t>ORD1251</t>
  </si>
  <si>
    <t>17-10-2025</t>
  </si>
  <si>
    <t>ORD1252</t>
  </si>
  <si>
    <t>ORD1253</t>
  </si>
  <si>
    <t>ORD1254</t>
  </si>
  <si>
    <t>ORD1255</t>
  </si>
  <si>
    <t>01-11-2025</t>
  </si>
  <si>
    <t>ORD1256</t>
  </si>
  <si>
    <t>10-08-2025</t>
  </si>
  <si>
    <t>ORD1257</t>
  </si>
  <si>
    <t>31-12-2025</t>
  </si>
  <si>
    <t>ORD1258</t>
  </si>
  <si>
    <t>04-07-2025</t>
  </si>
  <si>
    <t>ORD1259</t>
  </si>
  <si>
    <t>28-07-2025</t>
  </si>
  <si>
    <t>ORD1260</t>
  </si>
  <si>
    <t>17-07-2025</t>
  </si>
  <si>
    <t>ORD1261</t>
  </si>
  <si>
    <t>ORD1262</t>
  </si>
  <si>
    <t>04-08-2025</t>
  </si>
  <si>
    <t>ORD1263</t>
  </si>
  <si>
    <t>23-08-2025</t>
  </si>
  <si>
    <t>ORD1264</t>
  </si>
  <si>
    <t>14-08-2025</t>
  </si>
  <si>
    <t>ORD1265</t>
  </si>
  <si>
    <t>03-09-2025</t>
  </si>
  <si>
    <t>ORD1266</t>
  </si>
  <si>
    <t>ORD1267</t>
  </si>
  <si>
    <t>ORD1268</t>
  </si>
  <si>
    <t>29-07-2025</t>
  </si>
  <si>
    <t>ORD1269</t>
  </si>
  <si>
    <t>ORD1270</t>
  </si>
  <si>
    <t>ORD1271</t>
  </si>
  <si>
    <t>ORD1272</t>
  </si>
  <si>
    <t>25-10-2025</t>
  </si>
  <si>
    <t>ORD1273</t>
  </si>
  <si>
    <t>ORD1274</t>
  </si>
  <si>
    <t>ORD1275</t>
  </si>
  <si>
    <t>23-12-2025</t>
  </si>
  <si>
    <t>ORD1276</t>
  </si>
  <si>
    <t>ORD1277</t>
  </si>
  <si>
    <t>29-04-2025</t>
  </si>
  <si>
    <t>ORD1278</t>
  </si>
  <si>
    <t>ORD1279</t>
  </si>
  <si>
    <t>ORD1280</t>
  </si>
  <si>
    <t>ORD1281</t>
  </si>
  <si>
    <t>ORD1282</t>
  </si>
  <si>
    <t>ORD1283</t>
  </si>
  <si>
    <t>ORD1284</t>
  </si>
  <si>
    <t>28-01-2025</t>
  </si>
  <si>
    <t>ORD1285</t>
  </si>
  <si>
    <t>ORD1286</t>
  </si>
  <si>
    <t>ORD1287</t>
  </si>
  <si>
    <t>ORD1288</t>
  </si>
  <si>
    <t>ORD1289</t>
  </si>
  <si>
    <t>ORD1290</t>
  </si>
  <si>
    <t>12-11-2025</t>
  </si>
  <si>
    <t>ORD1291</t>
  </si>
  <si>
    <t>ORD1292</t>
  </si>
  <si>
    <t>31-01-2025</t>
  </si>
  <si>
    <t>ORD1293</t>
  </si>
  <si>
    <t>08-09-2025</t>
  </si>
  <si>
    <t>ORD1294</t>
  </si>
  <si>
    <t>26-07-2025</t>
  </si>
  <si>
    <t>ORD1295</t>
  </si>
  <si>
    <t>ORD1296</t>
  </si>
  <si>
    <t>ORD1297</t>
  </si>
  <si>
    <t>ORD1298</t>
  </si>
  <si>
    <t>29-11-2025</t>
  </si>
  <si>
    <t>ORD1299</t>
  </si>
  <si>
    <t>ORD1300</t>
  </si>
  <si>
    <t>ORD1301</t>
  </si>
  <si>
    <t>ORD1302</t>
  </si>
  <si>
    <t>ORD1303</t>
  </si>
  <si>
    <t>29-06-2025</t>
  </si>
  <si>
    <t>ORD1304</t>
  </si>
  <si>
    <t>ORD1305</t>
  </si>
  <si>
    <t>ORD1306</t>
  </si>
  <si>
    <t>20-07-2025</t>
  </si>
  <si>
    <t>ORD1307</t>
  </si>
  <si>
    <t>ORD1308</t>
  </si>
  <si>
    <t>ORD1309</t>
  </si>
  <si>
    <t>ORD1310</t>
  </si>
  <si>
    <t>ORD1311</t>
  </si>
  <si>
    <t>28-10-2025</t>
  </si>
  <si>
    <t>ORD1312</t>
  </si>
  <si>
    <t>01-03-2025</t>
  </si>
  <si>
    <t>ORD1313</t>
  </si>
  <si>
    <t>12-09-2025</t>
  </si>
  <si>
    <t>ORD1314</t>
  </si>
  <si>
    <t>21-06-2025</t>
  </si>
  <si>
    <t>ORD1315</t>
  </si>
  <si>
    <t>29-01-2025</t>
  </si>
  <si>
    <t>ORD1316</t>
  </si>
  <si>
    <t>ORD1317</t>
  </si>
  <si>
    <t>02-04-2025</t>
  </si>
  <si>
    <t>ORD1318</t>
  </si>
  <si>
    <t>20-10-2025</t>
  </si>
  <si>
    <t>ORD1319</t>
  </si>
  <si>
    <t>05-02-2025</t>
  </si>
  <si>
    <t>ORD1320</t>
  </si>
  <si>
    <t>ORD1321</t>
  </si>
  <si>
    <t>ORD1322</t>
  </si>
  <si>
    <t>03-12-2025</t>
  </si>
  <si>
    <t>ORD1323</t>
  </si>
  <si>
    <t>14-03-2025</t>
  </si>
  <si>
    <t>ORD1324</t>
  </si>
  <si>
    <t>ORD1325</t>
  </si>
  <si>
    <t>02-05-2025</t>
  </si>
  <si>
    <t>ORD1326</t>
  </si>
  <si>
    <t>14-04-2025</t>
  </si>
  <si>
    <t>ORD1327</t>
  </si>
  <si>
    <t>02-10-2025</t>
  </si>
  <si>
    <t>ORD1328</t>
  </si>
  <si>
    <t>27-12-2025</t>
  </si>
  <si>
    <t>ORD1329</t>
  </si>
  <si>
    <t>20-09-2025</t>
  </si>
  <si>
    <t>ORD1330</t>
  </si>
  <si>
    <t>08-05-2025</t>
  </si>
  <si>
    <t>ORD1331</t>
  </si>
  <si>
    <t>ORD1332</t>
  </si>
  <si>
    <t>12-04-2025</t>
  </si>
  <si>
    <t>ORD1333</t>
  </si>
  <si>
    <t>ORD1334</t>
  </si>
  <si>
    <t>ORD1335</t>
  </si>
  <si>
    <t>ORD1336</t>
  </si>
  <si>
    <t>ORD1337</t>
  </si>
  <si>
    <t>14-06-2025</t>
  </si>
  <si>
    <t>ORD1338</t>
  </si>
  <si>
    <t>30-01-2025</t>
  </si>
  <si>
    <t>ORD1339</t>
  </si>
  <si>
    <t>01-10-2025</t>
  </si>
  <si>
    <t>ORD1340</t>
  </si>
  <si>
    <t>ORD1341</t>
  </si>
  <si>
    <t>05-10-2025</t>
  </si>
  <si>
    <t>ORD1342</t>
  </si>
  <si>
    <t>ORD1343</t>
  </si>
  <si>
    <t>ORD1344</t>
  </si>
  <si>
    <t>ORD1345</t>
  </si>
  <si>
    <t>ORD1346</t>
  </si>
  <si>
    <t>07-03-2025</t>
  </si>
  <si>
    <t>ORD1347</t>
  </si>
  <si>
    <t>ORD1348</t>
  </si>
  <si>
    <t>27-03-2025</t>
  </si>
  <si>
    <t>ORD1349</t>
  </si>
  <si>
    <t>ORD1350</t>
  </si>
  <si>
    <t>ORD1351</t>
  </si>
  <si>
    <t>ORD1352</t>
  </si>
  <si>
    <t>ORD1353</t>
  </si>
  <si>
    <t>ORD1354</t>
  </si>
  <si>
    <t>ORD1355</t>
  </si>
  <si>
    <t>20-03-2025</t>
  </si>
  <si>
    <t>ORD1356</t>
  </si>
  <si>
    <t>14-01-2025</t>
  </si>
  <si>
    <t>ORD1357</t>
  </si>
  <si>
    <t>30-08-2025</t>
  </si>
  <si>
    <t>ORD1358</t>
  </si>
  <si>
    <t>ORD1359</t>
  </si>
  <si>
    <t>ORD1360</t>
  </si>
  <si>
    <t>ORD1361</t>
  </si>
  <si>
    <t>ORD1362</t>
  </si>
  <si>
    <t>22-01-2025</t>
  </si>
  <si>
    <t>ORD1363</t>
  </si>
  <si>
    <t>ORD1364</t>
  </si>
  <si>
    <t>ORD1365</t>
  </si>
  <si>
    <t>24-02-2025</t>
  </si>
  <si>
    <t>ORD1366</t>
  </si>
  <si>
    <t>08-11-2025</t>
  </si>
  <si>
    <t>ORD1367</t>
  </si>
  <si>
    <t>ORD1368</t>
  </si>
  <si>
    <t>22-06-2025</t>
  </si>
  <si>
    <t>ORD1369</t>
  </si>
  <si>
    <t>ORD1370</t>
  </si>
  <si>
    <t>ORD1371</t>
  </si>
  <si>
    <t>19-10-2025</t>
  </si>
  <si>
    <t>ORD1372</t>
  </si>
  <si>
    <t>ORD1373</t>
  </si>
  <si>
    <t>ORD1374</t>
  </si>
  <si>
    <t>ORD1375</t>
  </si>
  <si>
    <t>ORD1376</t>
  </si>
  <si>
    <t>28-11-2025</t>
  </si>
  <si>
    <t>ORD1377</t>
  </si>
  <si>
    <t>ORD1378</t>
  </si>
  <si>
    <t>ELECTRONICS</t>
  </si>
  <si>
    <t>ORD1379</t>
  </si>
  <si>
    <t>22-05-2025</t>
  </si>
  <si>
    <t>ORD1380</t>
  </si>
  <si>
    <t>ORD1381</t>
  </si>
  <si>
    <t>18-07-2025</t>
  </si>
  <si>
    <t>ORD1382</t>
  </si>
  <si>
    <t>ORD1383</t>
  </si>
  <si>
    <t>04-04-2025</t>
  </si>
  <si>
    <t>ORD1384</t>
  </si>
  <si>
    <t>ORD1385</t>
  </si>
  <si>
    <t>ORD1386</t>
  </si>
  <si>
    <t>ORD1387</t>
  </si>
  <si>
    <t>20-06-2025</t>
  </si>
  <si>
    <t>ORD1388</t>
  </si>
  <si>
    <t>ORD1389</t>
  </si>
  <si>
    <t>16-07-2025</t>
  </si>
  <si>
    <t>ORD1390</t>
  </si>
  <si>
    <t>ORD1391</t>
  </si>
  <si>
    <t>ORD1392</t>
  </si>
  <si>
    <t>ORD1393</t>
  </si>
  <si>
    <t>ORD1394</t>
  </si>
  <si>
    <t>07-07-2025</t>
  </si>
  <si>
    <t>ORD1395</t>
  </si>
  <si>
    <t>01-12-2025</t>
  </si>
  <si>
    <t>ORD1396</t>
  </si>
  <si>
    <t>ORD1397</t>
  </si>
  <si>
    <t>15-11-2025</t>
  </si>
  <si>
    <t>ORD1398</t>
  </si>
  <si>
    <t>ORD1399</t>
  </si>
  <si>
    <t>ORD1400</t>
  </si>
  <si>
    <t>09-12-2025</t>
  </si>
  <si>
    <t>ORD1401</t>
  </si>
  <si>
    <t>ORD1402</t>
  </si>
  <si>
    <t>07-08-2025</t>
  </si>
  <si>
    <t>ORD1403</t>
  </si>
  <si>
    <t>ORD1404</t>
  </si>
  <si>
    <t>ORD1405</t>
  </si>
  <si>
    <t>23-02-2025</t>
  </si>
  <si>
    <t>ORD1406</t>
  </si>
  <si>
    <t>05-09-2025</t>
  </si>
  <si>
    <t>ORD1407</t>
  </si>
  <si>
    <t>ORD1408</t>
  </si>
  <si>
    <t>04-09-2025</t>
  </si>
  <si>
    <t>ORD1409</t>
  </si>
  <si>
    <t>ORD1410</t>
  </si>
  <si>
    <t>26-11-2025</t>
  </si>
  <si>
    <t>ORD1411</t>
  </si>
  <si>
    <t>17-08-2025</t>
  </si>
  <si>
    <t>ORD1412</t>
  </si>
  <si>
    <t>01-01-2025</t>
  </si>
  <si>
    <t>ORD1413</t>
  </si>
  <si>
    <t>21-08-2025</t>
  </si>
  <si>
    <t>ORD1414</t>
  </si>
  <si>
    <t>02-01-2025</t>
  </si>
  <si>
    <t>ORD1415</t>
  </si>
  <si>
    <t>10-09-2025</t>
  </si>
  <si>
    <t>ORD1416</t>
  </si>
  <si>
    <t>21-04-2025</t>
  </si>
  <si>
    <t>ORD1417</t>
  </si>
  <si>
    <t>05-03-2025</t>
  </si>
  <si>
    <t>ORD1418</t>
  </si>
  <si>
    <t>ORD1419</t>
  </si>
  <si>
    <t>ORD1420</t>
  </si>
  <si>
    <t>ORD1421</t>
  </si>
  <si>
    <t>18-04-2025</t>
  </si>
  <si>
    <t>ORD1422</t>
  </si>
  <si>
    <t>30-12-2025</t>
  </si>
  <si>
    <t>ORD1423</t>
  </si>
  <si>
    <t>ORD1424</t>
  </si>
  <si>
    <t>ORD1425</t>
  </si>
  <si>
    <t>ORD1426</t>
  </si>
  <si>
    <t>02-08-2025</t>
  </si>
  <si>
    <t>ORD1427</t>
  </si>
  <si>
    <t>ORD1428</t>
  </si>
  <si>
    <t>ORD1429</t>
  </si>
  <si>
    <t>ORD1430</t>
  </si>
  <si>
    <t>ORD1431</t>
  </si>
  <si>
    <t>24-09-2025</t>
  </si>
  <si>
    <t>ORD1432</t>
  </si>
  <si>
    <t>ORD1433</t>
  </si>
  <si>
    <t>04-05-2025</t>
  </si>
  <si>
    <t>ORD1434</t>
  </si>
  <si>
    <t>13-01-2025</t>
  </si>
  <si>
    <t>ORD1435</t>
  </si>
  <si>
    <t>ORD1436</t>
  </si>
  <si>
    <t>ORD1437</t>
  </si>
  <si>
    <t>ORD1438</t>
  </si>
  <si>
    <t>ORD1439</t>
  </si>
  <si>
    <t>ORD1440</t>
  </si>
  <si>
    <t>ORD1441</t>
  </si>
  <si>
    <t>11-03-2025</t>
  </si>
  <si>
    <t>ORD1442</t>
  </si>
  <si>
    <t>ORD1443</t>
  </si>
  <si>
    <t>19-04-2025</t>
  </si>
  <si>
    <t>ORD1444</t>
  </si>
  <si>
    <t>ORD1445</t>
  </si>
  <si>
    <t>ORD1446</t>
  </si>
  <si>
    <t>12-06-2025</t>
  </si>
  <si>
    <t>ORD1447</t>
  </si>
  <si>
    <t>08-08-2025</t>
  </si>
  <si>
    <t>ORD1448</t>
  </si>
  <si>
    <t>ORD1449</t>
  </si>
  <si>
    <t>27-11-2025</t>
  </si>
  <si>
    <t>ORD1450</t>
  </si>
  <si>
    <t>ORD1451</t>
  </si>
  <si>
    <t>04-10-2025</t>
  </si>
  <si>
    <t>ORD1452</t>
  </si>
  <si>
    <t>ORD1453</t>
  </si>
  <si>
    <t>ORD1454</t>
  </si>
  <si>
    <t>ORD1455</t>
  </si>
  <si>
    <t>ORD1456</t>
  </si>
  <si>
    <t>ORD1457</t>
  </si>
  <si>
    <t>ORD1458</t>
  </si>
  <si>
    <t>ORD1459</t>
  </si>
  <si>
    <t>ORD1460</t>
  </si>
  <si>
    <t>ORD1461</t>
  </si>
  <si>
    <t>22-09-2025</t>
  </si>
  <si>
    <t>ORD1462</t>
  </si>
  <si>
    <t>ORD1463</t>
  </si>
  <si>
    <t>ORD1464</t>
  </si>
  <si>
    <t>ORD1465</t>
  </si>
  <si>
    <t>ORD1466</t>
  </si>
  <si>
    <t>ORD1467</t>
  </si>
  <si>
    <t>20-02-2025</t>
  </si>
  <si>
    <t>ORD1468</t>
  </si>
  <si>
    <t>ORD1469</t>
  </si>
  <si>
    <t>ORD1470</t>
  </si>
  <si>
    <t>ORD1471</t>
  </si>
  <si>
    <t>ORD1472</t>
  </si>
  <si>
    <t>ORD1473</t>
  </si>
  <si>
    <t>ORD1474</t>
  </si>
  <si>
    <t>11-08-2025</t>
  </si>
  <si>
    <t>ORD1475</t>
  </si>
  <si>
    <t>25-07-2025</t>
  </si>
  <si>
    <t>ORD1476</t>
  </si>
  <si>
    <t>ORD1477</t>
  </si>
  <si>
    <t>ORD1478</t>
  </si>
  <si>
    <t>ORD1479</t>
  </si>
  <si>
    <t>26-04-2025</t>
  </si>
  <si>
    <t>ORD1480</t>
  </si>
  <si>
    <t>ORD1481</t>
  </si>
  <si>
    <t>ORD1482</t>
  </si>
  <si>
    <t>15-01-2025</t>
  </si>
  <si>
    <t>ORD1483</t>
  </si>
  <si>
    <t>30-06-2025</t>
  </si>
  <si>
    <t>ORD1484</t>
  </si>
  <si>
    <t>ORD1485</t>
  </si>
  <si>
    <t>ORD1486</t>
  </si>
  <si>
    <t>13-11-2025</t>
  </si>
  <si>
    <t>ORD1487</t>
  </si>
  <si>
    <t>ORD1488</t>
  </si>
  <si>
    <t>24-05-2025</t>
  </si>
  <si>
    <t>ORD1489</t>
  </si>
  <si>
    <t>ORD1490</t>
  </si>
  <si>
    <t>ORD1491</t>
  </si>
  <si>
    <t>ORD1492</t>
  </si>
  <si>
    <t>ORD1493</t>
  </si>
  <si>
    <t>18-12-2025</t>
  </si>
  <si>
    <t>ORD1494</t>
  </si>
  <si>
    <t>ORD1495</t>
  </si>
  <si>
    <t>ORD1498</t>
  </si>
  <si>
    <t>ORD1499</t>
  </si>
  <si>
    <t>ORD1500</t>
  </si>
  <si>
    <t>Step</t>
  </si>
  <si>
    <t>Task</t>
  </si>
  <si>
    <t>Copy Raw_Data to a new Clean_Data sheet.</t>
  </si>
  <si>
    <t>Remove duplicate records using Order_ID.</t>
  </si>
  <si>
    <t>Clean extra spaces with TRIM and standardize text with PROPER.</t>
  </si>
  <si>
    <t>Handle missing Customer_Name and City values.</t>
  </si>
  <si>
    <t>Standardize Order_Date to a valid Excel date.</t>
  </si>
  <si>
    <t>Create Year, Month, and Month Number columns.</t>
  </si>
  <si>
    <t>Create Sales = Quantity * Unit_Price.</t>
  </si>
  <si>
    <t>Create Discount Amount, Net Sales, Profit, and Profit Margin.</t>
  </si>
  <si>
    <t>Create PivotTables for sales/profit by category, city, month, gender, and top 10 products.</t>
  </si>
  <si>
    <t>Create an interactive Dashboard using KPI cards, PivotCharts, Slicers, and a Timeline.</t>
  </si>
  <si>
    <t>]</t>
  </si>
  <si>
    <t/>
  </si>
  <si>
    <t>Unknown</t>
  </si>
  <si>
    <t>Year</t>
  </si>
  <si>
    <t>Month</t>
  </si>
  <si>
    <t>Sales</t>
  </si>
  <si>
    <t>Discount Amount</t>
  </si>
  <si>
    <t>Net_Sales</t>
  </si>
  <si>
    <t>Profit</t>
  </si>
  <si>
    <t>Profit_Margin</t>
  </si>
  <si>
    <t>Row Labels</t>
  </si>
  <si>
    <t>Grand Total</t>
  </si>
  <si>
    <t>Count of Net_Sales</t>
  </si>
  <si>
    <t>Total Sales</t>
  </si>
  <si>
    <t>Sum of Profit</t>
  </si>
  <si>
    <t>Count of Order_ID</t>
  </si>
  <si>
    <t>04</t>
  </si>
  <si>
    <t>05</t>
  </si>
  <si>
    <t>06</t>
  </si>
  <si>
    <t>07</t>
  </si>
  <si>
    <t>08</t>
  </si>
  <si>
    <t>09</t>
  </si>
  <si>
    <t>10</t>
  </si>
  <si>
    <t>11</t>
  </si>
  <si>
    <t>12</t>
  </si>
  <si>
    <t>01</t>
  </si>
  <si>
    <t>02</t>
  </si>
  <si>
    <t>03</t>
  </si>
  <si>
    <t>Total Orders</t>
  </si>
  <si>
    <t>Top 10 Products</t>
  </si>
  <si>
    <t>Sales by Category</t>
  </si>
  <si>
    <t>Sales by City</t>
  </si>
  <si>
    <t>Monthly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</si>
</sst>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6" x14ac:knownFonts="1">
    <font>
      <sz val="11"/>
      <color theme="1"/>
      <name val="Calibri"/>
      <family val="2"/>
      <scheme val="minor"/>
    </font>
    <font>
      <b/>
      <sz val="11"/>
      <name val="Calibri"/>
    </font>
    <font>
      <b/>
      <sz val="11"/>
      <name val="Calibri"/>
      <family val="2"/>
    </font>
    <font>
      <sz val="8"/>
      <name val="Calibri"/>
      <family val="2"/>
      <scheme val="minor"/>
    </font>
    <font>
      <b/>
      <u/>
      <sz val="11"/>
      <name val="Calibri"/>
      <family val="2"/>
    </font>
    <font>
      <u/>
      <sz val="11"/>
      <color theme="1"/>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13">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theme="0"/>
      </left>
      <right/>
      <top style="thin">
        <color theme="0"/>
      </top>
      <bottom style="thin">
        <color theme="0"/>
      </bottom>
      <diagonal/>
    </border>
    <border>
      <left style="thin">
        <color theme="0"/>
      </left>
      <right/>
      <top style="thin">
        <color theme="0"/>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theme="0"/>
      </left>
      <right/>
      <top style="thin">
        <color auto="1"/>
      </top>
      <bottom/>
      <diagonal/>
    </border>
    <border>
      <left/>
      <right/>
      <top style="thin">
        <color theme="0"/>
      </top>
      <bottom/>
      <diagonal/>
    </border>
    <border>
      <left style="thin">
        <color auto="1"/>
      </left>
      <right/>
      <top/>
      <bottom/>
      <diagonal/>
    </border>
    <border>
      <left style="thin">
        <color theme="0"/>
      </left>
      <right/>
      <top/>
      <bottom/>
      <diagonal/>
    </border>
    <border>
      <left style="thin">
        <color theme="0"/>
      </left>
      <right/>
      <top style="thick">
        <color theme="0"/>
      </top>
      <bottom/>
      <diagonal/>
    </border>
    <border>
      <left/>
      <right/>
      <top style="thin">
        <color theme="0"/>
      </top>
      <bottom style="thin">
        <color theme="0"/>
      </bottom>
      <diagonal/>
    </border>
  </borders>
  <cellStyleXfs count="1">
    <xf numFmtId="0" fontId="0" fillId="0" borderId="0"/>
  </cellStyleXfs>
  <cellXfs count="28">
    <xf numFmtId="0" fontId="0" fillId="0" borderId="0" xfId="0"/>
    <xf numFmtId="0" fontId="1" fillId="0" borderId="1" xfId="0" applyFont="1" applyBorder="1" applyAlignment="1">
      <alignment horizontal="center" vertical="top"/>
    </xf>
    <xf numFmtId="0" fontId="0" fillId="3" borderId="3" xfId="0" applyFont="1" applyFill="1" applyBorder="1"/>
    <xf numFmtId="0" fontId="0" fillId="4" borderId="4" xfId="0" applyFont="1" applyFill="1" applyBorder="1"/>
    <xf numFmtId="0" fontId="2" fillId="2" borderId="5" xfId="0" applyFont="1" applyFill="1" applyBorder="1" applyAlignment="1">
      <alignment horizontal="center" vertical="top"/>
    </xf>
    <xf numFmtId="0" fontId="0" fillId="3" borderId="2" xfId="0" applyFont="1" applyFill="1" applyBorder="1"/>
    <xf numFmtId="0" fontId="0" fillId="3" borderId="7" xfId="0" applyFont="1" applyFill="1" applyBorder="1"/>
    <xf numFmtId="0" fontId="0" fillId="4" borderId="8" xfId="0" applyFont="1" applyFill="1" applyBorder="1"/>
    <xf numFmtId="0" fontId="0" fillId="3" borderId="8" xfId="0" applyFont="1" applyFill="1" applyBorder="1"/>
    <xf numFmtId="0" fontId="0" fillId="3" borderId="4" xfId="0" applyFont="1" applyFill="1" applyBorder="1"/>
    <xf numFmtId="0" fontId="2" fillId="2" borderId="9" xfId="0" applyFont="1" applyFill="1" applyBorder="1" applyAlignment="1">
      <alignment horizontal="center" vertical="top"/>
    </xf>
    <xf numFmtId="0" fontId="0" fillId="4" borderId="0" xfId="0" applyFont="1" applyFill="1" applyBorder="1"/>
    <xf numFmtId="0" fontId="0" fillId="4" borderId="10" xfId="0" applyFont="1" applyFill="1" applyBorder="1"/>
    <xf numFmtId="0" fontId="0" fillId="0" borderId="0" xfId="0" applyNumberFormat="1"/>
    <xf numFmtId="14" fontId="0" fillId="3" borderId="7" xfId="0" applyNumberFormat="1" applyFont="1" applyFill="1" applyBorder="1"/>
    <xf numFmtId="0" fontId="5" fillId="3" borderId="7" xfId="0" applyFont="1" applyFill="1" applyBorder="1"/>
    <xf numFmtId="0" fontId="5" fillId="4" borderId="4" xfId="0" applyFont="1" applyFill="1" applyBorder="1"/>
    <xf numFmtId="0" fontId="5" fillId="3" borderId="4" xfId="0" applyFont="1" applyFill="1" applyBorder="1"/>
    <xf numFmtId="0" fontId="4" fillId="2" borderId="5" xfId="0" applyFont="1" applyFill="1" applyBorder="1" applyAlignment="1">
      <alignment horizontal="center" vertical="top"/>
    </xf>
    <xf numFmtId="0" fontId="4" fillId="2" borderId="6" xfId="0" applyFont="1" applyFill="1" applyBorder="1" applyAlignment="1">
      <alignment horizontal="center" vertical="top"/>
    </xf>
    <xf numFmtId="0" fontId="5" fillId="3" borderId="11" xfId="0" applyFont="1" applyFill="1" applyBorder="1"/>
    <xf numFmtId="0" fontId="0" fillId="3" borderId="12" xfId="0" applyFont="1" applyFill="1" applyBorder="1"/>
    <xf numFmtId="0" fontId="5" fillId="3" borderId="3" xfId="0" applyFont="1" applyFill="1" applyBorder="1"/>
    <xf numFmtId="2" fontId="0" fillId="0" borderId="0" xfId="0" applyNumberFormat="1"/>
    <xf numFmtId="10" fontId="0" fillId="0" borderId="0" xfId="0" applyNumberFormat="1"/>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19" Type="http://schemas.microsoft.com/office/2017/06/relationships/rdRichValueTypes" Target="richData/rdRichValueTypes.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[Supermarket_Sales_Excel_Project_500_Rows.xlsx]Pivot 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Analysis'!$F$4</c:f>
              <c:strCache>
                <c:ptCount val="1"/>
                <c:pt idx="0">
                  <c:v>Total</c:v>
                </c:pt>
              </c:strCache>
            </c:strRef>
          </c:tx>
          <c:spPr>
            <a:solidFill>
              <a:schemeClr val="accent1"/>
            </a:solidFill>
            <a:ln>
              <a:noFill/>
            </a:ln>
            <a:effectLst/>
          </c:spPr>
          <c:invertIfNegative val="0"/>
          <c:cat>
            <c:strRef>
              <c:f>'Pivot Analysis'!$E$5:$E$9</c:f>
              <c:strCache>
                <c:ptCount val="4"/>
                <c:pt idx="0">
                  <c:v>Clothing</c:v>
                </c:pt>
                <c:pt idx="1">
                  <c:v>Electronics</c:v>
                </c:pt>
                <c:pt idx="2">
                  <c:v>Grocery</c:v>
                </c:pt>
                <c:pt idx="3">
                  <c:v>Home</c:v>
                </c:pt>
              </c:strCache>
            </c:strRef>
          </c:cat>
          <c:val>
            <c:numRef>
              <c:f>'Pivot Analysis'!$F$5:$F$9</c:f>
              <c:numCache>
                <c:formatCode>General</c:formatCode>
                <c:ptCount val="4"/>
                <c:pt idx="0">
                  <c:v>7</c:v>
                </c:pt>
                <c:pt idx="1">
                  <c:v>7</c:v>
                </c:pt>
                <c:pt idx="2">
                  <c:v>8</c:v>
                </c:pt>
                <c:pt idx="3">
                  <c:v>11</c:v>
                </c:pt>
              </c:numCache>
            </c:numRef>
          </c:val>
          <c:extLst>
            <c:ext xmlns:c16="http://schemas.microsoft.com/office/drawing/2014/chart" uri="{C3380CC4-5D6E-409C-BE32-E72D297353CC}">
              <c16:uniqueId val="{00000000-A90D-4D6A-81B6-8885B0893A70}"/>
            </c:ext>
          </c:extLst>
        </c:ser>
        <c:dLbls>
          <c:showLegendKey val="0"/>
          <c:showVal val="0"/>
          <c:showCatName val="0"/>
          <c:showSerName val="0"/>
          <c:showPercent val="0"/>
          <c:showBubbleSize val="0"/>
        </c:dLbls>
        <c:gapWidth val="219"/>
        <c:overlap val="-27"/>
        <c:axId val="2051946943"/>
        <c:axId val="2051939039"/>
      </c:barChart>
      <c:catAx>
        <c:axId val="205194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939039"/>
        <c:crosses val="autoZero"/>
        <c:auto val="1"/>
        <c:lblAlgn val="ctr"/>
        <c:lblOffset val="100"/>
        <c:noMultiLvlLbl val="0"/>
      </c:catAx>
      <c:valAx>
        <c:axId val="2051939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946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[Supermarket_Sales_Excel_Project_500_Rows.xlsx]Pivot Analysis!PivotTable9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City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Analysis'!$E$21</c:f>
              <c:strCache>
                <c:ptCount val="1"/>
                <c:pt idx="0">
                  <c:v>Total</c:v>
                </c:pt>
              </c:strCache>
            </c:strRef>
          </c:tx>
          <c:spPr>
            <a:solidFill>
              <a:schemeClr val="accent1"/>
            </a:solidFill>
            <a:ln>
              <a:noFill/>
            </a:ln>
            <a:effectLst/>
          </c:spPr>
          <c:invertIfNegative val="0"/>
          <c:cat>
            <c:strRef>
              <c:f>'Pivot Analysis'!$D$22:$D$29</c:f>
              <c:strCache>
                <c:ptCount val="7"/>
                <c:pt idx="0">
                  <c:v>Bangalore</c:v>
                </c:pt>
                <c:pt idx="1">
                  <c:v>Chennai</c:v>
                </c:pt>
                <c:pt idx="2">
                  <c:v>Coimbatore</c:v>
                </c:pt>
                <c:pt idx="3">
                  <c:v>Hyderabad</c:v>
                </c:pt>
                <c:pt idx="4">
                  <c:v>Madurai</c:v>
                </c:pt>
                <c:pt idx="5">
                  <c:v>Salem</c:v>
                </c:pt>
                <c:pt idx="6">
                  <c:v>Unknown</c:v>
                </c:pt>
              </c:strCache>
            </c:strRef>
          </c:cat>
          <c:val>
            <c:numRef>
              <c:f>'Pivot Analysis'!$E$22:$E$29</c:f>
              <c:numCache>
                <c:formatCode>General</c:formatCode>
                <c:ptCount val="7"/>
                <c:pt idx="0">
                  <c:v>7</c:v>
                </c:pt>
                <c:pt idx="1">
                  <c:v>7</c:v>
                </c:pt>
                <c:pt idx="2">
                  <c:v>3</c:v>
                </c:pt>
                <c:pt idx="3">
                  <c:v>7</c:v>
                </c:pt>
                <c:pt idx="4">
                  <c:v>5</c:v>
                </c:pt>
                <c:pt idx="5">
                  <c:v>4</c:v>
                </c:pt>
              </c:numCache>
            </c:numRef>
          </c:val>
          <c:extLst>
            <c:ext xmlns:c16="http://schemas.microsoft.com/office/drawing/2014/chart" uri="{C3380CC4-5D6E-409C-BE32-E72D297353CC}">
              <c16:uniqueId val="{00000000-9A33-415D-AEAC-B3CA8F0103C0}"/>
            </c:ext>
          </c:extLst>
        </c:ser>
        <c:dLbls>
          <c:showLegendKey val="0"/>
          <c:showVal val="0"/>
          <c:showCatName val="0"/>
          <c:showSerName val="0"/>
          <c:showPercent val="0"/>
          <c:showBubbleSize val="0"/>
        </c:dLbls>
        <c:gapWidth val="182"/>
        <c:axId val="2051939455"/>
        <c:axId val="2051942783"/>
      </c:barChart>
      <c:catAx>
        <c:axId val="2051939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942783"/>
        <c:crosses val="autoZero"/>
        <c:auto val="1"/>
        <c:lblAlgn val="ctr"/>
        <c:lblOffset val="100"/>
        <c:noMultiLvlLbl val="0"/>
      </c:catAx>
      <c:valAx>
        <c:axId val="20519427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939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[Supermarket_Sales_Excel_Project_500_Rows.xlsx]Pivot Analysis!PivotTable10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s>
    <c:plotArea>
      <c:layout/>
      <c:pieChart>
        <c:varyColors val="1"/>
        <c:ser>
          <c:idx val="0"/>
          <c:order val="0"/>
          <c:tx>
            <c:strRef>
              <c:f>'Pivot Analysis'!$E$39</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7C9-4262-8B0D-EE26F998CD38}"/>
              </c:ext>
            </c:extLst>
          </c:dPt>
          <c:dPt>
            <c:idx val="1"/>
            <c:bubble3D val="0"/>
            <c:spPr>
              <a:solidFill>
                <a:schemeClr val="accent2"/>
              </a:solidFill>
              <a:ln>
                <a:noFill/>
              </a:ln>
              <a:effectLst/>
            </c:spPr>
            <c:extLst>
              <c:ext xmlns:c16="http://schemas.microsoft.com/office/drawing/2014/chart" uri="{C3380CC4-5D6E-409C-BE32-E72D297353CC}">
                <c16:uniqueId val="{00000003-57C9-4262-8B0D-EE26F998CD38}"/>
              </c:ext>
            </c:extLst>
          </c:dPt>
          <c:dPt>
            <c:idx val="2"/>
            <c:bubble3D val="0"/>
            <c:spPr>
              <a:solidFill>
                <a:schemeClr val="accent3"/>
              </a:solidFill>
              <a:ln>
                <a:noFill/>
              </a:ln>
              <a:effectLst/>
            </c:spPr>
            <c:extLst>
              <c:ext xmlns:c16="http://schemas.microsoft.com/office/drawing/2014/chart" uri="{C3380CC4-5D6E-409C-BE32-E72D297353CC}">
                <c16:uniqueId val="{00000005-57C9-4262-8B0D-EE26F998CD38}"/>
              </c:ext>
            </c:extLst>
          </c:dPt>
          <c:dPt>
            <c:idx val="3"/>
            <c:bubble3D val="0"/>
            <c:spPr>
              <a:solidFill>
                <a:schemeClr val="accent4"/>
              </a:solidFill>
              <a:ln>
                <a:noFill/>
              </a:ln>
              <a:effectLst/>
            </c:spPr>
            <c:extLst>
              <c:ext xmlns:c16="http://schemas.microsoft.com/office/drawing/2014/chart" uri="{C3380CC4-5D6E-409C-BE32-E72D297353CC}">
                <c16:uniqueId val="{00000007-57C9-4262-8B0D-EE26F998CD38}"/>
              </c:ext>
            </c:extLst>
          </c:dPt>
          <c:dPt>
            <c:idx val="4"/>
            <c:bubble3D val="0"/>
            <c:spPr>
              <a:solidFill>
                <a:schemeClr val="accent5"/>
              </a:solidFill>
              <a:ln>
                <a:noFill/>
              </a:ln>
              <a:effectLst/>
            </c:spPr>
            <c:extLst>
              <c:ext xmlns:c16="http://schemas.microsoft.com/office/drawing/2014/chart" uri="{C3380CC4-5D6E-409C-BE32-E72D297353CC}">
                <c16:uniqueId val="{00000009-57C9-4262-8B0D-EE26F998CD38}"/>
              </c:ext>
            </c:extLst>
          </c:dPt>
          <c:dPt>
            <c:idx val="5"/>
            <c:bubble3D val="0"/>
            <c:spPr>
              <a:solidFill>
                <a:schemeClr val="accent6"/>
              </a:solidFill>
              <a:ln>
                <a:noFill/>
              </a:ln>
              <a:effectLst/>
            </c:spPr>
            <c:extLst>
              <c:ext xmlns:c16="http://schemas.microsoft.com/office/drawing/2014/chart" uri="{C3380CC4-5D6E-409C-BE32-E72D297353CC}">
                <c16:uniqueId val="{0000000B-57C9-4262-8B0D-EE26F998CD38}"/>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57C9-4262-8B0D-EE26F998CD38}"/>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57C9-4262-8B0D-EE26F998CD38}"/>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57C9-4262-8B0D-EE26F998CD38}"/>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57C9-4262-8B0D-EE26F998CD38}"/>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57C9-4262-8B0D-EE26F998CD38}"/>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57C9-4262-8B0D-EE26F998CD38}"/>
              </c:ext>
            </c:extLst>
          </c:dPt>
          <c:cat>
            <c:strRef>
              <c:f>'Pivot Analysis'!$D$40:$D$52</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'Pivot Analysis'!$E$40:$E$52</c:f>
              <c:numCache>
                <c:formatCode>General</c:formatCode>
                <c:ptCount val="12"/>
                <c:pt idx="3">
                  <c:v>17</c:v>
                </c:pt>
                <c:pt idx="4">
                  <c:v>16</c:v>
                </c:pt>
              </c:numCache>
            </c:numRef>
          </c:val>
          <c:extLst>
            <c:ext xmlns:c16="http://schemas.microsoft.com/office/drawing/2014/chart" uri="{C3380CC4-5D6E-409C-BE32-E72D297353CC}">
              <c16:uniqueId val="{00000000-6F1D-4148-96E0-4E867130F98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[Supermarket_Sales_Excel_Project_500_Rows.xlsx]Pivot Analysis!PivotTable11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Analysis'!$B$56</c:f>
              <c:strCache>
                <c:ptCount val="1"/>
                <c:pt idx="0">
                  <c:v>Total</c:v>
                </c:pt>
              </c:strCache>
            </c:strRef>
          </c:tx>
          <c:spPr>
            <a:solidFill>
              <a:schemeClr val="accent1"/>
            </a:solidFill>
            <a:ln>
              <a:noFill/>
            </a:ln>
            <a:effectLst/>
          </c:spPr>
          <c:invertIfNegative val="0"/>
          <c:cat>
            <c:strRef>
              <c:f>'Pivot Analysis'!$A$57:$A$67</c:f>
              <c:strCache>
                <c:ptCount val="10"/>
                <c:pt idx="0">
                  <c:v>Bedsheet</c:v>
                </c:pt>
                <c:pt idx="1">
                  <c:v>Curtains</c:v>
                </c:pt>
                <c:pt idx="2">
                  <c:v>Headphones</c:v>
                </c:pt>
                <c:pt idx="3">
                  <c:v>Jeans</c:v>
                </c:pt>
                <c:pt idx="4">
                  <c:v>Kurti</c:v>
                </c:pt>
                <c:pt idx="5">
                  <c:v>Shirt</c:v>
                </c:pt>
                <c:pt idx="6">
                  <c:v>Storage Box</c:v>
                </c:pt>
                <c:pt idx="7">
                  <c:v>Tea</c:v>
                </c:pt>
                <c:pt idx="8">
                  <c:v>Wheat Flour</c:v>
                </c:pt>
                <c:pt idx="9">
                  <c:v>Wireless Mouse</c:v>
                </c:pt>
              </c:strCache>
            </c:strRef>
          </c:cat>
          <c:val>
            <c:numRef>
              <c:f>'Pivot Analysis'!$B$57:$B$67</c:f>
              <c:numCache>
                <c:formatCode>General</c:formatCode>
                <c:ptCount val="10"/>
                <c:pt idx="0">
                  <c:v>3</c:v>
                </c:pt>
                <c:pt idx="1">
                  <c:v>4</c:v>
                </c:pt>
                <c:pt idx="2">
                  <c:v>2</c:v>
                </c:pt>
                <c:pt idx="3">
                  <c:v>2</c:v>
                </c:pt>
                <c:pt idx="4">
                  <c:v>2</c:v>
                </c:pt>
                <c:pt idx="5">
                  <c:v>2</c:v>
                </c:pt>
                <c:pt idx="6">
                  <c:v>2</c:v>
                </c:pt>
                <c:pt idx="7">
                  <c:v>2</c:v>
                </c:pt>
                <c:pt idx="8">
                  <c:v>3</c:v>
                </c:pt>
                <c:pt idx="9">
                  <c:v>3</c:v>
                </c:pt>
              </c:numCache>
            </c:numRef>
          </c:val>
          <c:extLst>
            <c:ext xmlns:c16="http://schemas.microsoft.com/office/drawing/2014/chart" uri="{C3380CC4-5D6E-409C-BE32-E72D297353CC}">
              <c16:uniqueId val="{00000000-EA84-46EC-B599-BB702D449A88}"/>
            </c:ext>
          </c:extLst>
        </c:ser>
        <c:dLbls>
          <c:showLegendKey val="0"/>
          <c:showVal val="0"/>
          <c:showCatName val="0"/>
          <c:showSerName val="0"/>
          <c:showPercent val="0"/>
          <c:showBubbleSize val="0"/>
        </c:dLbls>
        <c:gapWidth val="182"/>
        <c:axId val="1788721295"/>
        <c:axId val="1788721711"/>
      </c:barChart>
      <c:catAx>
        <c:axId val="1788721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721711"/>
        <c:crosses val="autoZero"/>
        <c:auto val="1"/>
        <c:lblAlgn val="ctr"/>
        <c:lblOffset val="100"/>
        <c:noMultiLvlLbl val="0"/>
      </c:catAx>
      <c:valAx>
        <c:axId val="17887217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721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[Supermarket_Sales_Excel_Project_500_Rows.xlsx]Pivot Analysis!PivotTable8</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Analysis'!$F$4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Analysis'!$E$5:$E$9</c:f>
              <c:strCache>
                <c:ptCount val="4"/>
                <c:pt idx="0">
                  <c:v>Clothing</c:v>
                </c:pt>
                <c:pt idx="1">
                  <c:v>Electronics</c:v>
                </c:pt>
                <c:pt idx="2">
                  <c:v>Grocery</c:v>
                </c:pt>
                <c:pt idx="3">
                  <c:v>Home</c:v>
                </c:pt>
              </c:strCache>
            </c:strRef>
          </c:cat>
          <c:val>
            <c:numRef>
              <c:f>'Pivot Analysis'!$F$5:$F$9</c:f>
              <c:numCache>
                <c:formatCode>General</c:formatCode>
                <c:ptCount val="4"/>
                <c:pt idx="0">
                  <c:v>7</c:v>
                </c:pt>
                <c:pt idx="1">
                  <c:v>7</c:v>
                </c:pt>
                <c:pt idx="2">
                  <c:v>8</c:v>
                </c:pt>
                <c:pt idx="3">
                  <c:v>11</c:v>
                </c:pt>
              </c:numCache>
            </c:numRef>
          </c:val>
          <c:extLst>
            <c:ext xmlns:c16="http://schemas.microsoft.com/office/drawing/2014/chart" uri="{C3380CC4-5D6E-409C-BE32-E72D297353CC}">
              <c16:uniqueId val="{00000000-D4B4-4D12-A541-8194F59F31F7}"/>
            </c:ext>
          </c:extLst>
        </c:ser>
        <c:dLbls>
          <c:showLegendKey val="0"/>
          <c:showVal val="0"/>
          <c:showCatName val="0"/>
          <c:showSerName val="0"/>
          <c:showPercent val="0"/>
          <c:showBubbleSize val="0"/>
        </c:dLbls>
        <c:gapWidth val="100"/>
        <c:overlap val="-24"/>
        <c:axId val="2051946943"/>
        <c:axId val="2051939039"/>
      </c:barChart>
      <c:catAx>
        <c:axId val="20519469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1939039"/>
        <c:crosses val="autoZero"/>
        <c:auto val="1"/>
        <c:lblAlgn val="ctr"/>
        <c:lblOffset val="100"/>
        <c:noMultiLvlLbl val="0"/>
      </c:catAx>
      <c:valAx>
        <c:axId val="20519390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1946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[Supermarket_Sales_Excel_Project_500_Rows.xlsx]Pivot Analysis!PivotTable9</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City</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Analysis'!$E$21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Analysis'!$D$22:$D$29</c:f>
              <c:strCache>
                <c:ptCount val="7"/>
                <c:pt idx="0">
                  <c:v>Bangalore</c:v>
                </c:pt>
                <c:pt idx="1">
                  <c:v>Chennai</c:v>
                </c:pt>
                <c:pt idx="2">
                  <c:v>Coimbatore</c:v>
                </c:pt>
                <c:pt idx="3">
                  <c:v>Hyderabad</c:v>
                </c:pt>
                <c:pt idx="4">
                  <c:v>Madurai</c:v>
                </c:pt>
                <c:pt idx="5">
                  <c:v>Salem</c:v>
                </c:pt>
                <c:pt idx="6">
                  <c:v>Unknown</c:v>
                </c:pt>
              </c:strCache>
            </c:strRef>
          </c:cat>
          <c:val>
            <c:numRef>
              <c:f>'Pivot Analysis'!$E$22:$E$29</c:f>
              <c:numCache>
                <c:formatCode>General</c:formatCode>
                <c:ptCount val="7"/>
                <c:pt idx="0">
                  <c:v>7</c:v>
                </c:pt>
                <c:pt idx="1">
                  <c:v>7</c:v>
                </c:pt>
                <c:pt idx="2">
                  <c:v>3</c:v>
                </c:pt>
                <c:pt idx="3">
                  <c:v>7</c:v>
                </c:pt>
                <c:pt idx="4">
                  <c:v>5</c:v>
                </c:pt>
                <c:pt idx="5">
                  <c:v>4</c:v>
                </c:pt>
              </c:numCache>
            </c:numRef>
          </c:val>
          <c:extLst>
            <c:ext xmlns:c16="http://schemas.microsoft.com/office/drawing/2014/chart" uri="{C3380CC4-5D6E-409C-BE32-E72D297353CC}">
              <c16:uniqueId val="{00000000-6793-4012-8993-054FAF5B9B03}"/>
            </c:ext>
          </c:extLst>
        </c:ser>
        <c:dLbls>
          <c:showLegendKey val="0"/>
          <c:showVal val="0"/>
          <c:showCatName val="0"/>
          <c:showSerName val="0"/>
          <c:showPercent val="0"/>
          <c:showBubbleSize val="0"/>
        </c:dLbls>
        <c:gapWidth val="115"/>
        <c:overlap val="-20"/>
        <c:axId val="2051939455"/>
        <c:axId val="2051942783"/>
      </c:barChart>
      <c:catAx>
        <c:axId val="205193945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1942783"/>
        <c:crosses val="autoZero"/>
        <c:auto val="1"/>
        <c:lblAlgn val="ctr"/>
        <c:lblOffset val="100"/>
        <c:noMultiLvlLbl val="0"/>
      </c:catAx>
      <c:valAx>
        <c:axId val="205194278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1939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[Supermarket_Sales_Excel_Project_500_Rows.xlsx]Pivot Analysis!PivotTable11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Products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Analysis'!$B$56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Analysis'!$A$57:$A$67</c:f>
              <c:strCache>
                <c:ptCount val="10"/>
                <c:pt idx="0">
                  <c:v>Bedsheet</c:v>
                </c:pt>
                <c:pt idx="1">
                  <c:v>Curtains</c:v>
                </c:pt>
                <c:pt idx="2">
                  <c:v>Headphones</c:v>
                </c:pt>
                <c:pt idx="3">
                  <c:v>Jeans</c:v>
                </c:pt>
                <c:pt idx="4">
                  <c:v>Kurti</c:v>
                </c:pt>
                <c:pt idx="5">
                  <c:v>Shirt</c:v>
                </c:pt>
                <c:pt idx="6">
                  <c:v>Storage Box</c:v>
                </c:pt>
                <c:pt idx="7">
                  <c:v>Tea</c:v>
                </c:pt>
                <c:pt idx="8">
                  <c:v>Wheat Flour</c:v>
                </c:pt>
                <c:pt idx="9">
                  <c:v>Wireless Mouse</c:v>
                </c:pt>
              </c:strCache>
            </c:strRef>
          </c:cat>
          <c:val>
            <c:numRef>
              <c:f>'Pivot Analysis'!$B$57:$B$67</c:f>
              <c:numCache>
                <c:formatCode>General</c:formatCode>
                <c:ptCount val="10"/>
                <c:pt idx="0">
                  <c:v>3</c:v>
                </c:pt>
                <c:pt idx="1">
                  <c:v>4</c:v>
                </c:pt>
                <c:pt idx="2">
                  <c:v>2</c:v>
                </c:pt>
                <c:pt idx="3">
                  <c:v>2</c:v>
                </c:pt>
                <c:pt idx="4">
                  <c:v>2</c:v>
                </c:pt>
                <c:pt idx="5">
                  <c:v>2</c:v>
                </c:pt>
                <c:pt idx="6">
                  <c:v>2</c:v>
                </c:pt>
                <c:pt idx="7">
                  <c:v>2</c:v>
                </c:pt>
                <c:pt idx="8">
                  <c:v>3</c:v>
                </c:pt>
                <c:pt idx="9">
                  <c:v>3</c:v>
                </c:pt>
              </c:numCache>
            </c:numRef>
          </c:val>
          <c:extLst>
            <c:ext xmlns:c16="http://schemas.microsoft.com/office/drawing/2014/chart" uri="{C3380CC4-5D6E-409C-BE32-E72D297353CC}">
              <c16:uniqueId val="{00000000-C036-4E1F-BF8B-A1DC3E6E6AC7}"/>
            </c:ext>
          </c:extLst>
        </c:ser>
        <c:dLbls>
          <c:showLegendKey val="0"/>
          <c:showVal val="0"/>
          <c:showCatName val="0"/>
          <c:showSerName val="0"/>
          <c:showPercent val="0"/>
          <c:showBubbleSize val="0"/>
        </c:dLbls>
        <c:gapWidth val="115"/>
        <c:overlap val="-20"/>
        <c:axId val="1788721295"/>
        <c:axId val="1788721711"/>
      </c:barChart>
      <c:catAx>
        <c:axId val="178872129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8721711"/>
        <c:crosses val="autoZero"/>
        <c:auto val="1"/>
        <c:lblAlgn val="ctr"/>
        <c:lblOffset val="100"/>
        <c:noMultiLvlLbl val="0"/>
      </c:catAx>
      <c:valAx>
        <c:axId val="178872171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8721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[Supermarket_Sales_Excel_Project_500_Rows.xlsx]Pivot Analysis!PivotTable10</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Analysis'!$E$39</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461-42D4-8866-A6BB688B1FE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461-42D4-8866-A6BB688B1FE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461-42D4-8866-A6BB688B1FE6}"/>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461-42D4-8866-A6BB688B1FE6}"/>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2461-42D4-8866-A6BB688B1FE6}"/>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2461-42D4-8866-A6BB688B1FE6}"/>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2461-42D4-8866-A6BB688B1FE6}"/>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2461-42D4-8866-A6BB688B1FE6}"/>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2461-42D4-8866-A6BB688B1FE6}"/>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2461-42D4-8866-A6BB688B1FE6}"/>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2461-42D4-8866-A6BB688B1FE6}"/>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2461-42D4-8866-A6BB688B1FE6}"/>
              </c:ext>
            </c:extLst>
          </c:dPt>
          <c:cat>
            <c:strRef>
              <c:f>'Pivot Analysis'!$D$40:$D$52</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'Pivot Analysis'!$E$40:$E$52</c:f>
              <c:numCache>
                <c:formatCode>General</c:formatCode>
                <c:ptCount val="12"/>
                <c:pt idx="3">
                  <c:v>17</c:v>
                </c:pt>
                <c:pt idx="4">
                  <c:v>16</c:v>
                </c:pt>
              </c:numCache>
            </c:numRef>
          </c:val>
          <c:extLst>
            <c:ext xmlns:c16="http://schemas.microsoft.com/office/drawing/2014/chart" uri="{C3380CC4-5D6E-409C-BE32-E72D297353CC}">
              <c16:uniqueId val="{00000018-2461-42D4-8866-A6BB688B1FE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chart" Target="../charts/chart8.xml"/><Relationship Id="rId3" Type="http://schemas.openxmlformats.org/officeDocument/2006/relationships/chart" Target="../charts/chart7.xml"/><Relationship Id="rId7" Type="http://schemas.openxmlformats.org/officeDocument/2006/relationships/image" Target="../media/image4.png"/><Relationship Id="rId12" Type="http://schemas.openxmlformats.org/officeDocument/2006/relationships/image" Target="../media/image9.sv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3.svg"/><Relationship Id="rId11" Type="http://schemas.openxmlformats.org/officeDocument/2006/relationships/image" Target="../media/image8.png"/><Relationship Id="rId5" Type="http://schemas.openxmlformats.org/officeDocument/2006/relationships/image" Target="../media/image2.png"/><Relationship Id="rId15" Type="http://schemas.openxmlformats.org/officeDocument/2006/relationships/image" Target="../media/image11.svg"/><Relationship Id="rId10" Type="http://schemas.openxmlformats.org/officeDocument/2006/relationships/image" Target="../media/image7.svg"/><Relationship Id="rId4" Type="http://schemas.openxmlformats.org/officeDocument/2006/relationships/image" Target="../media/image1.png"/><Relationship Id="rId9" Type="http://schemas.openxmlformats.org/officeDocument/2006/relationships/image" Target="../media/image6.png"/><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6</xdr:col>
      <xdr:colOff>251460</xdr:colOff>
      <xdr:row>2</xdr:row>
      <xdr:rowOff>26670</xdr:rowOff>
    </xdr:from>
    <xdr:to>
      <xdr:col>13</xdr:col>
      <xdr:colOff>175260</xdr:colOff>
      <xdr:row>17</xdr:row>
      <xdr:rowOff>26670</xdr:rowOff>
    </xdr:to>
    <xdr:graphicFrame macro="">
      <xdr:nvGraphicFramePr>
        <xdr:cNvPr id="2" name="Chart 1">
          <a:extLst>
            <a:ext uri="{FF2B5EF4-FFF2-40B4-BE49-F238E27FC236}">
              <a16:creationId xmlns:a16="http://schemas.microsoft.com/office/drawing/2014/main" id="{17BF3D88-A64C-4126-8E93-BEF1C8F9E8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655320</xdr:colOff>
      <xdr:row>18</xdr:row>
      <xdr:rowOff>87630</xdr:rowOff>
    </xdr:from>
    <xdr:to>
      <xdr:col>12</xdr:col>
      <xdr:colOff>160020</xdr:colOff>
      <xdr:row>32</xdr:row>
      <xdr:rowOff>175260</xdr:rowOff>
    </xdr:to>
    <xdr:graphicFrame macro="">
      <xdr:nvGraphicFramePr>
        <xdr:cNvPr id="3" name="Chart 2">
          <a:extLst>
            <a:ext uri="{FF2B5EF4-FFF2-40B4-BE49-F238E27FC236}">
              <a16:creationId xmlns:a16="http://schemas.microsoft.com/office/drawing/2014/main" id="{95EDA3E5-D11A-47CB-9E0A-6582AD84BF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266700</xdr:colOff>
      <xdr:row>37</xdr:row>
      <xdr:rowOff>175260</xdr:rowOff>
    </xdr:from>
    <xdr:to>
      <xdr:col>10</xdr:col>
      <xdr:colOff>53340</xdr:colOff>
      <xdr:row>50</xdr:row>
      <xdr:rowOff>95250</xdr:rowOff>
    </xdr:to>
    <xdr:graphicFrame macro="">
      <xdr:nvGraphicFramePr>
        <xdr:cNvPr id="4" name="Chart 3">
          <a:extLst>
            <a:ext uri="{FF2B5EF4-FFF2-40B4-BE49-F238E27FC236}">
              <a16:creationId xmlns:a16="http://schemas.microsoft.com/office/drawing/2014/main" id="{A9F262F2-516E-47D5-A6E0-0A2EA5630E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342900</xdr:colOff>
      <xdr:row>55</xdr:row>
      <xdr:rowOff>91440</xdr:rowOff>
    </xdr:from>
    <xdr:to>
      <xdr:col>7</xdr:col>
      <xdr:colOff>525780</xdr:colOff>
      <xdr:row>68</xdr:row>
      <xdr:rowOff>57150</xdr:rowOff>
    </xdr:to>
    <xdr:graphicFrame macro="">
      <xdr:nvGraphicFramePr>
        <xdr:cNvPr id="5" name="Chart 4">
          <a:extLst>
            <a:ext uri="{FF2B5EF4-FFF2-40B4-BE49-F238E27FC236}">
              <a16:creationId xmlns:a16="http://schemas.microsoft.com/office/drawing/2014/main" id="{61BE150D-C234-4A00-94AA-7109D76BB6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434340</xdr:colOff>
      <xdr:row>2</xdr:row>
      <xdr:rowOff>30480</xdr:rowOff>
    </xdr:from>
    <xdr:to>
      <xdr:col>16</xdr:col>
      <xdr:colOff>434340</xdr:colOff>
      <xdr:row>15</xdr:row>
      <xdr:rowOff>120015</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689EBF5F-04E2-408F-B4D4-515F3318744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789920" y="396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144780</xdr:colOff>
      <xdr:row>18</xdr:row>
      <xdr:rowOff>99060</xdr:rowOff>
    </xdr:from>
    <xdr:to>
      <xdr:col>16</xdr:col>
      <xdr:colOff>144780</xdr:colOff>
      <xdr:row>32</xdr:row>
      <xdr:rowOff>5715</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64FD0D7C-D812-4788-9238-C9084AF09B7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500360" y="3390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457200</xdr:colOff>
      <xdr:row>37</xdr:row>
      <xdr:rowOff>144780</xdr:rowOff>
    </xdr:from>
    <xdr:to>
      <xdr:col>13</xdr:col>
      <xdr:colOff>457200</xdr:colOff>
      <xdr:row>51</xdr:row>
      <xdr:rowOff>51435</xdr:rowOff>
    </xdr:to>
    <mc:AlternateContent xmlns:mc="http://schemas.openxmlformats.org/markup-compatibility/2006" xmlns:a14="http://schemas.microsoft.com/office/drawing/2010/main">
      <mc:Choice Requires="a14">
        <xdr:graphicFrame macro="">
          <xdr:nvGraphicFramePr>
            <xdr:cNvPr id="8" name="Payment_Mode">
              <a:extLst>
                <a:ext uri="{FF2B5EF4-FFF2-40B4-BE49-F238E27FC236}">
                  <a16:creationId xmlns:a16="http://schemas.microsoft.com/office/drawing/2014/main" id="{30F97EAE-5C5E-4C13-B675-DC08153707D2}"/>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8983980" y="6911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533400</xdr:colOff>
      <xdr:row>54</xdr:row>
      <xdr:rowOff>76200</xdr:rowOff>
    </xdr:from>
    <xdr:to>
      <xdr:col>11</xdr:col>
      <xdr:colOff>533400</xdr:colOff>
      <xdr:row>67</xdr:row>
      <xdr:rowOff>165735</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542FBAE3-10C5-4814-8DE5-D9ED4F6A467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840980" y="9951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76200</xdr:rowOff>
    </xdr:from>
    <xdr:to>
      <xdr:col>19</xdr:col>
      <xdr:colOff>243840</xdr:colOff>
      <xdr:row>62</xdr:row>
      <xdr:rowOff>99060</xdr:rowOff>
    </xdr:to>
    <xdr:sp macro="" textlink="">
      <xdr:nvSpPr>
        <xdr:cNvPr id="2" name="Rectangle 1">
          <a:extLst>
            <a:ext uri="{FF2B5EF4-FFF2-40B4-BE49-F238E27FC236}">
              <a16:creationId xmlns:a16="http://schemas.microsoft.com/office/drawing/2014/main" id="{D6EAE90D-0E40-4C50-979B-282E484CAF9C}"/>
            </a:ext>
          </a:extLst>
        </xdr:cNvPr>
        <xdr:cNvSpPr/>
      </xdr:nvSpPr>
      <xdr:spPr>
        <a:xfrm>
          <a:off x="0" y="441960"/>
          <a:ext cx="11826240" cy="10995660"/>
        </a:xfrm>
        <a:prstGeom prst="rect">
          <a:avLst/>
        </a:prstGeom>
        <a:solidFill>
          <a:schemeClr val="accent4">
            <a:lumMod val="60000"/>
            <a:lumOff val="40000"/>
          </a:schemeClr>
        </a:solidFill>
        <a:ln>
          <a:solidFill>
            <a:schemeClr val="accent4">
              <a:shade val="50000"/>
            </a:schemeClr>
          </a:solidFill>
        </a:ln>
        <a:effectLst>
          <a:outerShdw blurRad="50800" dist="50800" dir="5400000" algn="ctr" rotWithShape="0">
            <a:schemeClr val="accent1">
              <a:alpha val="14000"/>
            </a:scheme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0</xdr:row>
      <xdr:rowOff>45720</xdr:rowOff>
    </xdr:from>
    <xdr:to>
      <xdr:col>19</xdr:col>
      <xdr:colOff>137160</xdr:colOff>
      <xdr:row>2</xdr:row>
      <xdr:rowOff>129540</xdr:rowOff>
    </xdr:to>
    <xdr:sp macro="" textlink="">
      <xdr:nvSpPr>
        <xdr:cNvPr id="4" name="Rectangle: Rounded Corners 3">
          <a:extLst>
            <a:ext uri="{FF2B5EF4-FFF2-40B4-BE49-F238E27FC236}">
              <a16:creationId xmlns:a16="http://schemas.microsoft.com/office/drawing/2014/main" id="{DD833B0F-CAAA-4521-8F9C-825703B2BF4D}"/>
            </a:ext>
          </a:extLst>
        </xdr:cNvPr>
        <xdr:cNvSpPr/>
      </xdr:nvSpPr>
      <xdr:spPr>
        <a:xfrm>
          <a:off x="38100" y="45720"/>
          <a:ext cx="11681460" cy="449580"/>
        </a:xfrm>
        <a:prstGeom prst="round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2000">
              <a:solidFill>
                <a:schemeClr val="lt1"/>
              </a:solidFill>
              <a:latin typeface="+mn-lt"/>
              <a:ea typeface="+mn-ea"/>
              <a:cs typeface="+mn-cs"/>
            </a:rPr>
            <a:t>                                                                </a:t>
          </a:r>
          <a:r>
            <a:rPr lang="en-IN" sz="2000">
              <a:solidFill>
                <a:schemeClr val="accent2">
                  <a:lumMod val="75000"/>
                </a:schemeClr>
              </a:solidFill>
              <a:latin typeface="+mn-lt"/>
              <a:ea typeface="+mn-ea"/>
              <a:cs typeface="+mn-cs"/>
            </a:rPr>
            <a:t>SUPERMARKET SALES ANALYSIS DASHBOARD</a:t>
          </a:r>
        </a:p>
      </xdr:txBody>
    </xdr:sp>
    <xdr:clientData/>
  </xdr:twoCellAnchor>
  <xdr:twoCellAnchor>
    <xdr:from>
      <xdr:col>0</xdr:col>
      <xdr:colOff>45720</xdr:colOff>
      <xdr:row>2</xdr:row>
      <xdr:rowOff>175260</xdr:rowOff>
    </xdr:from>
    <xdr:to>
      <xdr:col>3</xdr:col>
      <xdr:colOff>182880</xdr:colOff>
      <xdr:row>14</xdr:row>
      <xdr:rowOff>99060</xdr:rowOff>
    </xdr:to>
    <xdr:sp macro="" textlink="">
      <xdr:nvSpPr>
        <xdr:cNvPr id="5" name="Rectangle 4">
          <a:extLst>
            <a:ext uri="{FF2B5EF4-FFF2-40B4-BE49-F238E27FC236}">
              <a16:creationId xmlns:a16="http://schemas.microsoft.com/office/drawing/2014/main" id="{2511C268-41D5-45C2-8164-F8982B5E9E23}"/>
            </a:ext>
          </a:extLst>
        </xdr:cNvPr>
        <xdr:cNvSpPr/>
      </xdr:nvSpPr>
      <xdr:spPr>
        <a:xfrm>
          <a:off x="45720" y="541020"/>
          <a:ext cx="1965960" cy="21183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xdr:colOff>
      <xdr:row>27</xdr:row>
      <xdr:rowOff>68580</xdr:rowOff>
    </xdr:from>
    <xdr:to>
      <xdr:col>3</xdr:col>
      <xdr:colOff>160020</xdr:colOff>
      <xdr:row>37</xdr:row>
      <xdr:rowOff>83820</xdr:rowOff>
    </xdr:to>
    <xdr:sp macro="" textlink="">
      <xdr:nvSpPr>
        <xdr:cNvPr id="6" name="Rectangle 5">
          <a:extLst>
            <a:ext uri="{FF2B5EF4-FFF2-40B4-BE49-F238E27FC236}">
              <a16:creationId xmlns:a16="http://schemas.microsoft.com/office/drawing/2014/main" id="{50CC020C-4BFC-4A6D-BD70-689D463EEF98}"/>
            </a:ext>
          </a:extLst>
        </xdr:cNvPr>
        <xdr:cNvSpPr/>
      </xdr:nvSpPr>
      <xdr:spPr>
        <a:xfrm>
          <a:off x="15240" y="5006340"/>
          <a:ext cx="1973580" cy="184404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45720</xdr:colOff>
      <xdr:row>37</xdr:row>
      <xdr:rowOff>121920</xdr:rowOff>
    </xdr:from>
    <xdr:to>
      <xdr:col>3</xdr:col>
      <xdr:colOff>167640</xdr:colOff>
      <xdr:row>48</xdr:row>
      <xdr:rowOff>76200</xdr:rowOff>
    </xdr:to>
    <xdr:sp macro="" textlink="">
      <xdr:nvSpPr>
        <xdr:cNvPr id="7" name="Rectangle 6">
          <a:extLst>
            <a:ext uri="{FF2B5EF4-FFF2-40B4-BE49-F238E27FC236}">
              <a16:creationId xmlns:a16="http://schemas.microsoft.com/office/drawing/2014/main" id="{709D53F6-0081-491B-9417-F6E9CF7A95EB}"/>
            </a:ext>
          </a:extLst>
        </xdr:cNvPr>
        <xdr:cNvSpPr/>
      </xdr:nvSpPr>
      <xdr:spPr>
        <a:xfrm>
          <a:off x="45720" y="6888480"/>
          <a:ext cx="1950720" cy="19659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14</xdr:row>
      <xdr:rowOff>129540</xdr:rowOff>
    </xdr:from>
    <xdr:to>
      <xdr:col>3</xdr:col>
      <xdr:colOff>182880</xdr:colOff>
      <xdr:row>27</xdr:row>
      <xdr:rowOff>38100</xdr:rowOff>
    </xdr:to>
    <xdr:sp macro="" textlink="">
      <xdr:nvSpPr>
        <xdr:cNvPr id="8" name="Rectangle 7">
          <a:extLst>
            <a:ext uri="{FF2B5EF4-FFF2-40B4-BE49-F238E27FC236}">
              <a16:creationId xmlns:a16="http://schemas.microsoft.com/office/drawing/2014/main" id="{29082520-9B77-479F-ABC1-825C1DEDF913}"/>
            </a:ext>
          </a:extLst>
        </xdr:cNvPr>
        <xdr:cNvSpPr/>
      </xdr:nvSpPr>
      <xdr:spPr>
        <a:xfrm>
          <a:off x="38100" y="2689860"/>
          <a:ext cx="1973580" cy="2286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83820</xdr:colOff>
      <xdr:row>3</xdr:row>
      <xdr:rowOff>30480</xdr:rowOff>
    </xdr:from>
    <xdr:to>
      <xdr:col>3</xdr:col>
      <xdr:colOff>152400</xdr:colOff>
      <xdr:row>14</xdr:row>
      <xdr:rowOff>68580</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075A3FC0-EBB8-42DA-AFEF-8B2017B4931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3820" y="579120"/>
              <a:ext cx="1897380" cy="2049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14</xdr:row>
      <xdr:rowOff>152401</xdr:rowOff>
    </xdr:from>
    <xdr:to>
      <xdr:col>3</xdr:col>
      <xdr:colOff>144780</xdr:colOff>
      <xdr:row>26</xdr:row>
      <xdr:rowOff>167641</xdr:rowOff>
    </xdr:to>
    <mc:AlternateContent xmlns:mc="http://schemas.openxmlformats.org/markup-compatibility/2006" xmlns:a14="http://schemas.microsoft.com/office/drawing/2010/main">
      <mc:Choice Requires="a14">
        <xdr:graphicFrame macro="">
          <xdr:nvGraphicFramePr>
            <xdr:cNvPr id="10" name="City 1">
              <a:extLst>
                <a:ext uri="{FF2B5EF4-FFF2-40B4-BE49-F238E27FC236}">
                  <a16:creationId xmlns:a16="http://schemas.microsoft.com/office/drawing/2014/main" id="{EB8811B2-98FC-422E-98C7-B4F7A22FDEF7}"/>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76200" y="2712721"/>
              <a:ext cx="1897380" cy="220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27</xdr:row>
      <xdr:rowOff>99061</xdr:rowOff>
    </xdr:from>
    <xdr:to>
      <xdr:col>3</xdr:col>
      <xdr:colOff>114300</xdr:colOff>
      <xdr:row>37</xdr:row>
      <xdr:rowOff>30481</xdr:rowOff>
    </xdr:to>
    <mc:AlternateContent xmlns:mc="http://schemas.openxmlformats.org/markup-compatibility/2006" xmlns:a14="http://schemas.microsoft.com/office/drawing/2010/main">
      <mc:Choice Requires="a14">
        <xdr:graphicFrame macro="">
          <xdr:nvGraphicFramePr>
            <xdr:cNvPr id="11" name="Payment_Mode 1">
              <a:extLst>
                <a:ext uri="{FF2B5EF4-FFF2-40B4-BE49-F238E27FC236}">
                  <a16:creationId xmlns:a16="http://schemas.microsoft.com/office/drawing/2014/main" id="{91946CAC-16E9-4401-9E60-3C5035499AD5}"/>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53340" y="5036821"/>
              <a:ext cx="1889760" cy="1760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37</xdr:row>
      <xdr:rowOff>160021</xdr:rowOff>
    </xdr:from>
    <xdr:to>
      <xdr:col>3</xdr:col>
      <xdr:colOff>114300</xdr:colOff>
      <xdr:row>48</xdr:row>
      <xdr:rowOff>7621</xdr:rowOff>
    </xdr:to>
    <mc:AlternateContent xmlns:mc="http://schemas.openxmlformats.org/markup-compatibility/2006" xmlns:a14="http://schemas.microsoft.com/office/drawing/2010/main">
      <mc:Choice Requires="a14">
        <xdr:graphicFrame macro="">
          <xdr:nvGraphicFramePr>
            <xdr:cNvPr id="12" name="Gender 1">
              <a:extLst>
                <a:ext uri="{FF2B5EF4-FFF2-40B4-BE49-F238E27FC236}">
                  <a16:creationId xmlns:a16="http://schemas.microsoft.com/office/drawing/2014/main" id="{06871E36-1F0F-41E0-AB7D-C2A86728B41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3820" y="6926581"/>
              <a:ext cx="1859280" cy="1859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259080</xdr:colOff>
      <xdr:row>3</xdr:row>
      <xdr:rowOff>22860</xdr:rowOff>
    </xdr:from>
    <xdr:to>
      <xdr:col>7</xdr:col>
      <xdr:colOff>38100</xdr:colOff>
      <xdr:row>7</xdr:row>
      <xdr:rowOff>129540</xdr:rowOff>
    </xdr:to>
    <xdr:sp macro="" textlink="">
      <xdr:nvSpPr>
        <xdr:cNvPr id="13" name="Rectangle: Rounded Corners 12">
          <a:extLst>
            <a:ext uri="{FF2B5EF4-FFF2-40B4-BE49-F238E27FC236}">
              <a16:creationId xmlns:a16="http://schemas.microsoft.com/office/drawing/2014/main" id="{B2C92132-7B44-49E6-853A-6965A635763F}"/>
            </a:ext>
          </a:extLst>
        </xdr:cNvPr>
        <xdr:cNvSpPr/>
      </xdr:nvSpPr>
      <xdr:spPr>
        <a:xfrm>
          <a:off x="2087880" y="571500"/>
          <a:ext cx="2217420" cy="838200"/>
        </a:xfrm>
        <a:prstGeom prst="round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      </a:t>
          </a:r>
          <a:r>
            <a:rPr lang="en-IN" sz="1400">
              <a:solidFill>
                <a:schemeClr val="accent2">
                  <a:lumMod val="75000"/>
                </a:schemeClr>
              </a:solidFill>
              <a:latin typeface="Eras Bold ITC" panose="020B0907030504020204" pitchFamily="34" charset="0"/>
              <a:cs typeface="Arial" panose="020B0604020202020204" pitchFamily="34" charset="0"/>
            </a:rPr>
            <a:t>TOTAL SALES            </a:t>
          </a:r>
        </a:p>
        <a:p>
          <a:pPr algn="l"/>
          <a:r>
            <a:rPr lang="en-IN" sz="1400" baseline="0">
              <a:solidFill>
                <a:schemeClr val="accent2">
                  <a:lumMod val="75000"/>
                </a:schemeClr>
              </a:solidFill>
              <a:latin typeface="Eras Bold ITC" panose="020B0907030504020204" pitchFamily="34" charset="0"/>
              <a:cs typeface="Arial" panose="020B0604020202020204" pitchFamily="34" charset="0"/>
            </a:rPr>
            <a:t>           </a:t>
          </a:r>
          <a:r>
            <a:rPr lang="en-IN" sz="1400">
              <a:solidFill>
                <a:schemeClr val="accent2">
                  <a:lumMod val="75000"/>
                </a:schemeClr>
              </a:solidFill>
              <a:latin typeface="Arial" panose="020B0604020202020204" pitchFamily="34" charset="0"/>
              <a:cs typeface="Arial" panose="020B0604020202020204" pitchFamily="34" charset="0"/>
            </a:rPr>
            <a:t> </a:t>
          </a:r>
        </a:p>
      </xdr:txBody>
    </xdr:sp>
    <xdr:clientData/>
  </xdr:twoCellAnchor>
  <xdr:twoCellAnchor>
    <xdr:from>
      <xdr:col>7</xdr:col>
      <xdr:colOff>121920</xdr:colOff>
      <xdr:row>3</xdr:row>
      <xdr:rowOff>15240</xdr:rowOff>
    </xdr:from>
    <xdr:to>
      <xdr:col>10</xdr:col>
      <xdr:colOff>510540</xdr:colOff>
      <xdr:row>7</xdr:row>
      <xdr:rowOff>121920</xdr:rowOff>
    </xdr:to>
    <xdr:sp macro="" textlink="">
      <xdr:nvSpPr>
        <xdr:cNvPr id="14" name="Rectangle: Rounded Corners 13">
          <a:extLst>
            <a:ext uri="{FF2B5EF4-FFF2-40B4-BE49-F238E27FC236}">
              <a16:creationId xmlns:a16="http://schemas.microsoft.com/office/drawing/2014/main" id="{14ED6212-91E2-4115-9B17-8575C4C0CF4F}"/>
            </a:ext>
          </a:extLst>
        </xdr:cNvPr>
        <xdr:cNvSpPr/>
      </xdr:nvSpPr>
      <xdr:spPr>
        <a:xfrm>
          <a:off x="4389120" y="563880"/>
          <a:ext cx="2217420" cy="838200"/>
        </a:xfrm>
        <a:prstGeom prst="round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400">
              <a:solidFill>
                <a:schemeClr val="accent2">
                  <a:lumMod val="75000"/>
                </a:schemeClr>
              </a:solidFill>
              <a:latin typeface="Eras Bold ITC" panose="020B0907030504020204" pitchFamily="34" charset="0"/>
              <a:ea typeface="+mn-ea"/>
              <a:cs typeface="+mn-cs"/>
            </a:rPr>
            <a:t>       TOTAL PROFIT </a:t>
          </a:r>
        </a:p>
        <a:p>
          <a:pPr marL="0" indent="0" algn="l"/>
          <a:endParaRPr lang="en-IN" sz="1400">
            <a:solidFill>
              <a:schemeClr val="accent2">
                <a:lumMod val="75000"/>
              </a:schemeClr>
            </a:solidFill>
            <a:latin typeface="Eras Bold ITC" panose="020B0907030504020204" pitchFamily="34" charset="0"/>
            <a:ea typeface="+mn-ea"/>
            <a:cs typeface="+mn-cs"/>
          </a:endParaRPr>
        </a:p>
        <a:p>
          <a:pPr marL="0" indent="0" algn="l"/>
          <a:r>
            <a:rPr lang="en-IN" sz="1200">
              <a:solidFill>
                <a:schemeClr val="accent2">
                  <a:lumMod val="75000"/>
                </a:schemeClr>
              </a:solidFill>
              <a:latin typeface="Eras Bold ITC" panose="020B0907030504020204" pitchFamily="34" charset="0"/>
              <a:ea typeface="+mn-ea"/>
              <a:cs typeface="+mn-cs"/>
            </a:rPr>
            <a:t>                   </a:t>
          </a:r>
          <a:r>
            <a:rPr lang="en-IN" sz="1200" b="0" i="0" u="none" strike="noStrike">
              <a:solidFill>
                <a:schemeClr val="accent2">
                  <a:lumMod val="75000"/>
                </a:schemeClr>
              </a:solidFill>
              <a:effectLst/>
              <a:latin typeface="Arial" panose="020B0604020202020204" pitchFamily="34" charset="0"/>
              <a:ea typeface="+mn-ea"/>
              <a:cs typeface="Arial" panose="020B0604020202020204" pitchFamily="34" charset="0"/>
            </a:rPr>
            <a:t>1269472.03</a:t>
          </a:r>
          <a:r>
            <a:rPr lang="en-IN" sz="1200">
              <a:solidFill>
                <a:schemeClr val="accent2">
                  <a:lumMod val="75000"/>
                </a:schemeClr>
              </a:solidFill>
              <a:latin typeface="Arial" panose="020B0604020202020204" pitchFamily="34" charset="0"/>
              <a:cs typeface="Arial" panose="020B0604020202020204" pitchFamily="34" charset="0"/>
            </a:rPr>
            <a:t> </a:t>
          </a:r>
          <a:endParaRPr lang="en-IN" sz="1200">
            <a:solidFill>
              <a:schemeClr val="accent2">
                <a:lumMod val="75000"/>
              </a:schemeClr>
            </a:solidFill>
            <a:latin typeface="Arial" panose="020B0604020202020204" pitchFamily="34" charset="0"/>
            <a:ea typeface="+mn-ea"/>
            <a:cs typeface="Arial" panose="020B0604020202020204" pitchFamily="34" charset="0"/>
          </a:endParaRPr>
        </a:p>
      </xdr:txBody>
    </xdr:sp>
    <xdr:clientData/>
  </xdr:twoCellAnchor>
  <xdr:twoCellAnchor>
    <xdr:from>
      <xdr:col>10</xdr:col>
      <xdr:colOff>594360</xdr:colOff>
      <xdr:row>3</xdr:row>
      <xdr:rowOff>7620</xdr:rowOff>
    </xdr:from>
    <xdr:to>
      <xdr:col>14</xdr:col>
      <xdr:colOff>373380</xdr:colOff>
      <xdr:row>7</xdr:row>
      <xdr:rowOff>114300</xdr:rowOff>
    </xdr:to>
    <xdr:sp macro="" textlink="">
      <xdr:nvSpPr>
        <xdr:cNvPr id="15" name="Rectangle: Rounded Corners 14">
          <a:extLst>
            <a:ext uri="{FF2B5EF4-FFF2-40B4-BE49-F238E27FC236}">
              <a16:creationId xmlns:a16="http://schemas.microsoft.com/office/drawing/2014/main" id="{9E0CAF93-D054-4A80-AE66-B38C166B094D}"/>
            </a:ext>
          </a:extLst>
        </xdr:cNvPr>
        <xdr:cNvSpPr/>
      </xdr:nvSpPr>
      <xdr:spPr>
        <a:xfrm>
          <a:off x="6690360" y="556260"/>
          <a:ext cx="2217420" cy="838200"/>
        </a:xfrm>
        <a:prstGeom prst="round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400">
              <a:solidFill>
                <a:schemeClr val="accent2">
                  <a:lumMod val="75000"/>
                </a:schemeClr>
              </a:solidFill>
              <a:latin typeface="Eras Bold ITC" panose="020B0907030504020204" pitchFamily="34" charset="0"/>
              <a:ea typeface="+mn-ea"/>
              <a:cs typeface="+mn-cs"/>
            </a:rPr>
            <a:t>        TOTAL ORDERS</a:t>
          </a:r>
        </a:p>
        <a:p>
          <a:pPr marL="0" indent="0" algn="l"/>
          <a:r>
            <a:rPr lang="en-IN" sz="1400">
              <a:solidFill>
                <a:schemeClr val="accent2">
                  <a:lumMod val="75000"/>
                </a:schemeClr>
              </a:solidFill>
              <a:latin typeface="Eras Bold ITC" panose="020B0907030504020204" pitchFamily="34" charset="0"/>
              <a:ea typeface="+mn-ea"/>
              <a:cs typeface="+mn-cs"/>
            </a:rPr>
            <a:t>                                     </a:t>
          </a:r>
        </a:p>
        <a:p>
          <a:pPr marL="0" indent="0" algn="l"/>
          <a:r>
            <a:rPr lang="en-IN" sz="1400">
              <a:solidFill>
                <a:schemeClr val="accent2">
                  <a:lumMod val="75000"/>
                </a:schemeClr>
              </a:solidFill>
              <a:latin typeface="Arial" panose="020B0604020202020204" pitchFamily="34" charset="0"/>
              <a:ea typeface="+mn-ea"/>
              <a:cs typeface="Arial" panose="020B0604020202020204" pitchFamily="34" charset="0"/>
            </a:rPr>
            <a:t>                         </a:t>
          </a:r>
          <a:r>
            <a:rPr lang="en-IN" sz="1400" b="0" i="0" u="none" strike="noStrike">
              <a:solidFill>
                <a:schemeClr val="accent2">
                  <a:lumMod val="75000"/>
                </a:schemeClr>
              </a:solidFill>
              <a:effectLst/>
              <a:latin typeface="Arial" panose="020B0604020202020204" pitchFamily="34" charset="0"/>
              <a:ea typeface="+mn-ea"/>
              <a:cs typeface="Arial" panose="020B0604020202020204" pitchFamily="34" charset="0"/>
            </a:rPr>
            <a:t>498</a:t>
          </a:r>
          <a:r>
            <a:rPr lang="en-IN" sz="1400">
              <a:solidFill>
                <a:schemeClr val="accent2">
                  <a:lumMod val="75000"/>
                </a:schemeClr>
              </a:solidFill>
              <a:latin typeface="Arial" panose="020B0604020202020204" pitchFamily="34" charset="0"/>
              <a:cs typeface="Arial" panose="020B0604020202020204" pitchFamily="34" charset="0"/>
            </a:rPr>
            <a:t> </a:t>
          </a:r>
          <a:r>
            <a:rPr lang="en-IN" sz="1400">
              <a:solidFill>
                <a:schemeClr val="accent2">
                  <a:lumMod val="75000"/>
                </a:schemeClr>
              </a:solidFill>
              <a:latin typeface="Arial" panose="020B0604020202020204" pitchFamily="34" charset="0"/>
              <a:ea typeface="+mn-ea"/>
              <a:cs typeface="Arial" panose="020B0604020202020204" pitchFamily="34" charset="0"/>
            </a:rPr>
            <a:t>           </a:t>
          </a:r>
        </a:p>
        <a:p>
          <a:pPr marL="0" indent="0" algn="l"/>
          <a:endParaRPr lang="en-IN" sz="1400">
            <a:solidFill>
              <a:schemeClr val="accent2">
                <a:lumMod val="75000"/>
              </a:schemeClr>
            </a:solidFill>
            <a:latin typeface="Eras Bold ITC" panose="020B0907030504020204" pitchFamily="34" charset="0"/>
            <a:ea typeface="+mn-ea"/>
            <a:cs typeface="+mn-cs"/>
          </a:endParaRPr>
        </a:p>
      </xdr:txBody>
    </xdr:sp>
    <xdr:clientData/>
  </xdr:twoCellAnchor>
  <xdr:twoCellAnchor>
    <xdr:from>
      <xdr:col>14</xdr:col>
      <xdr:colOff>449580</xdr:colOff>
      <xdr:row>3</xdr:row>
      <xdr:rowOff>15240</xdr:rowOff>
    </xdr:from>
    <xdr:to>
      <xdr:col>18</xdr:col>
      <xdr:colOff>228600</xdr:colOff>
      <xdr:row>7</xdr:row>
      <xdr:rowOff>121920</xdr:rowOff>
    </xdr:to>
    <xdr:sp macro="" textlink="">
      <xdr:nvSpPr>
        <xdr:cNvPr id="16" name="Rectangle: Rounded Corners 15">
          <a:extLst>
            <a:ext uri="{FF2B5EF4-FFF2-40B4-BE49-F238E27FC236}">
              <a16:creationId xmlns:a16="http://schemas.microsoft.com/office/drawing/2014/main" id="{69894D17-656C-4402-AE2A-ABA43860E9C2}"/>
            </a:ext>
          </a:extLst>
        </xdr:cNvPr>
        <xdr:cNvSpPr/>
      </xdr:nvSpPr>
      <xdr:spPr>
        <a:xfrm>
          <a:off x="8983980" y="563880"/>
          <a:ext cx="2217420" cy="838200"/>
        </a:xfrm>
        <a:prstGeom prst="round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400">
              <a:solidFill>
                <a:schemeClr val="accent2">
                  <a:lumMod val="75000"/>
                </a:schemeClr>
              </a:solidFill>
              <a:latin typeface="Eras Bold ITC" panose="020B0907030504020204" pitchFamily="34" charset="0"/>
              <a:ea typeface="+mn-ea"/>
              <a:cs typeface="+mn-cs"/>
            </a:rPr>
            <a:t>     AVERAGE ORDER         of VALUE                       </a:t>
          </a:r>
        </a:p>
        <a:p>
          <a:pPr marL="0" indent="0" algn="l"/>
          <a:r>
            <a:rPr lang="en-IN" sz="1400">
              <a:solidFill>
                <a:schemeClr val="accent2">
                  <a:lumMod val="75000"/>
                </a:schemeClr>
              </a:solidFill>
              <a:latin typeface="Arial" panose="020B0604020202020204" pitchFamily="34" charset="0"/>
              <a:ea typeface="+mn-ea"/>
              <a:cs typeface="Arial" panose="020B0604020202020204" pitchFamily="34" charset="0"/>
            </a:rPr>
            <a:t>                                 </a:t>
          </a:r>
          <a:r>
            <a:rPr lang="en-IN" sz="1400" b="0" i="0" u="none" strike="noStrike">
              <a:solidFill>
                <a:schemeClr val="accent2">
                  <a:lumMod val="75000"/>
                </a:schemeClr>
              </a:solidFill>
              <a:effectLst/>
              <a:latin typeface="Arial" panose="020B0604020202020204" pitchFamily="34" charset="0"/>
              <a:ea typeface="+mn-ea"/>
              <a:cs typeface="Arial" panose="020B0604020202020204" pitchFamily="34" charset="0"/>
            </a:rPr>
            <a:t>498</a:t>
          </a:r>
          <a:r>
            <a:rPr lang="en-IN" sz="1400">
              <a:solidFill>
                <a:schemeClr val="accent2">
                  <a:lumMod val="75000"/>
                </a:schemeClr>
              </a:solidFill>
              <a:latin typeface="Arial" panose="020B0604020202020204" pitchFamily="34" charset="0"/>
              <a:cs typeface="Arial" panose="020B0604020202020204" pitchFamily="34" charset="0"/>
            </a:rPr>
            <a:t> </a:t>
          </a:r>
          <a:r>
            <a:rPr lang="en-IN" sz="1400">
              <a:solidFill>
                <a:schemeClr val="accent2">
                  <a:lumMod val="75000"/>
                </a:schemeClr>
              </a:solidFill>
              <a:latin typeface="Arial" panose="020B0604020202020204" pitchFamily="34" charset="0"/>
              <a:ea typeface="+mn-ea"/>
              <a:cs typeface="Arial" panose="020B0604020202020204" pitchFamily="34" charset="0"/>
            </a:rPr>
            <a:t>            </a:t>
          </a:r>
        </a:p>
      </xdr:txBody>
    </xdr:sp>
    <xdr:clientData/>
  </xdr:twoCellAnchor>
  <xdr:twoCellAnchor>
    <xdr:from>
      <xdr:col>3</xdr:col>
      <xdr:colOff>266700</xdr:colOff>
      <xdr:row>8</xdr:row>
      <xdr:rowOff>7620</xdr:rowOff>
    </xdr:from>
    <xdr:to>
      <xdr:col>9</xdr:col>
      <xdr:colOff>30480</xdr:colOff>
      <xdr:row>24</xdr:row>
      <xdr:rowOff>106680</xdr:rowOff>
    </xdr:to>
    <xdr:sp macro="" textlink="">
      <xdr:nvSpPr>
        <xdr:cNvPr id="17" name="Rectangle: Rounded Corners 16">
          <a:extLst>
            <a:ext uri="{FF2B5EF4-FFF2-40B4-BE49-F238E27FC236}">
              <a16:creationId xmlns:a16="http://schemas.microsoft.com/office/drawing/2014/main" id="{315E6797-1D58-4360-86BF-559434EDE175}"/>
            </a:ext>
          </a:extLst>
        </xdr:cNvPr>
        <xdr:cNvSpPr/>
      </xdr:nvSpPr>
      <xdr:spPr>
        <a:xfrm>
          <a:off x="2095500" y="1470660"/>
          <a:ext cx="3421380" cy="302514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373380</xdr:colOff>
      <xdr:row>25</xdr:row>
      <xdr:rowOff>53340</xdr:rowOff>
    </xdr:from>
    <xdr:to>
      <xdr:col>9</xdr:col>
      <xdr:colOff>182880</xdr:colOff>
      <xdr:row>41</xdr:row>
      <xdr:rowOff>144780</xdr:rowOff>
    </xdr:to>
    <xdr:sp macro="" textlink="">
      <xdr:nvSpPr>
        <xdr:cNvPr id="18" name="Rectangle: Rounded Corners 17">
          <a:extLst>
            <a:ext uri="{FF2B5EF4-FFF2-40B4-BE49-F238E27FC236}">
              <a16:creationId xmlns:a16="http://schemas.microsoft.com/office/drawing/2014/main" id="{D8B6BFFC-2E9C-481F-88C5-C7FE03021C3D}"/>
            </a:ext>
          </a:extLst>
        </xdr:cNvPr>
        <xdr:cNvSpPr/>
      </xdr:nvSpPr>
      <xdr:spPr>
        <a:xfrm>
          <a:off x="2202180" y="4625340"/>
          <a:ext cx="3467100" cy="301752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441960</xdr:colOff>
      <xdr:row>25</xdr:row>
      <xdr:rowOff>68580</xdr:rowOff>
    </xdr:from>
    <xdr:to>
      <xdr:col>15</xdr:col>
      <xdr:colOff>381000</xdr:colOff>
      <xdr:row>41</xdr:row>
      <xdr:rowOff>144780</xdr:rowOff>
    </xdr:to>
    <xdr:sp macro="" textlink="">
      <xdr:nvSpPr>
        <xdr:cNvPr id="19" name="Rectangle: Rounded Corners 18">
          <a:extLst>
            <a:ext uri="{FF2B5EF4-FFF2-40B4-BE49-F238E27FC236}">
              <a16:creationId xmlns:a16="http://schemas.microsoft.com/office/drawing/2014/main" id="{192A3CED-ACD0-4319-9A9B-B29242F0ED93}"/>
            </a:ext>
          </a:extLst>
        </xdr:cNvPr>
        <xdr:cNvSpPr/>
      </xdr:nvSpPr>
      <xdr:spPr>
        <a:xfrm>
          <a:off x="5928360" y="4640580"/>
          <a:ext cx="3596640" cy="3002280"/>
        </a:xfrm>
        <a:prstGeom prst="roundRect">
          <a:avLst/>
        </a:prstGeom>
        <a:noFill/>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434340</xdr:colOff>
      <xdr:row>8</xdr:row>
      <xdr:rowOff>45720</xdr:rowOff>
    </xdr:from>
    <xdr:to>
      <xdr:col>15</xdr:col>
      <xdr:colOff>396240</xdr:colOff>
      <xdr:row>24</xdr:row>
      <xdr:rowOff>137160</xdr:rowOff>
    </xdr:to>
    <xdr:sp macro="" textlink="">
      <xdr:nvSpPr>
        <xdr:cNvPr id="20" name="Rectangle: Rounded Corners 19">
          <a:extLst>
            <a:ext uri="{FF2B5EF4-FFF2-40B4-BE49-F238E27FC236}">
              <a16:creationId xmlns:a16="http://schemas.microsoft.com/office/drawing/2014/main" id="{99AF95DF-651E-4F57-8B91-EBBAB9929EEF}"/>
            </a:ext>
          </a:extLst>
        </xdr:cNvPr>
        <xdr:cNvSpPr/>
      </xdr:nvSpPr>
      <xdr:spPr>
        <a:xfrm>
          <a:off x="5920740" y="1508760"/>
          <a:ext cx="3619500" cy="301752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434340</xdr:colOff>
      <xdr:row>8</xdr:row>
      <xdr:rowOff>175260</xdr:rowOff>
    </xdr:from>
    <xdr:to>
      <xdr:col>15</xdr:col>
      <xdr:colOff>15240</xdr:colOff>
      <xdr:row>23</xdr:row>
      <xdr:rowOff>68580</xdr:rowOff>
    </xdr:to>
    <xdr:graphicFrame macro="">
      <xdr:nvGraphicFramePr>
        <xdr:cNvPr id="22" name="Chart 21">
          <a:extLst>
            <a:ext uri="{FF2B5EF4-FFF2-40B4-BE49-F238E27FC236}">
              <a16:creationId xmlns:a16="http://schemas.microsoft.com/office/drawing/2014/main" id="{0022D049-F4E1-4AE5-96B8-36B490DF88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556260</xdr:colOff>
      <xdr:row>25</xdr:row>
      <xdr:rowOff>175260</xdr:rowOff>
    </xdr:from>
    <xdr:to>
      <xdr:col>8</xdr:col>
      <xdr:colOff>586740</xdr:colOff>
      <xdr:row>40</xdr:row>
      <xdr:rowOff>152400</xdr:rowOff>
    </xdr:to>
    <xdr:graphicFrame macro="">
      <xdr:nvGraphicFramePr>
        <xdr:cNvPr id="23" name="Chart 22">
          <a:extLst>
            <a:ext uri="{FF2B5EF4-FFF2-40B4-BE49-F238E27FC236}">
              <a16:creationId xmlns:a16="http://schemas.microsoft.com/office/drawing/2014/main" id="{9BB7CD74-B9ED-4082-BC5A-8A3252BEC7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579120</xdr:colOff>
      <xdr:row>26</xdr:row>
      <xdr:rowOff>91440</xdr:rowOff>
    </xdr:from>
    <xdr:to>
      <xdr:col>15</xdr:col>
      <xdr:colOff>259080</xdr:colOff>
      <xdr:row>40</xdr:row>
      <xdr:rowOff>99060</xdr:rowOff>
    </xdr:to>
    <xdr:graphicFrame macro="">
      <xdr:nvGraphicFramePr>
        <xdr:cNvPr id="24" name="Chart 23">
          <a:extLst>
            <a:ext uri="{FF2B5EF4-FFF2-40B4-BE49-F238E27FC236}">
              <a16:creationId xmlns:a16="http://schemas.microsoft.com/office/drawing/2014/main" id="{01579723-1F36-451F-85AA-2C4648FC61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175260</xdr:colOff>
      <xdr:row>5</xdr:row>
      <xdr:rowOff>76200</xdr:rowOff>
    </xdr:from>
    <xdr:to>
      <xdr:col>6</xdr:col>
      <xdr:colOff>504525</xdr:colOff>
      <xdr:row>7</xdr:row>
      <xdr:rowOff>70135</xdr:rowOff>
    </xdr:to>
    <xdr:pic>
      <xdr:nvPicPr>
        <xdr:cNvPr id="26" name="Picture 25">
          <a:extLst>
            <a:ext uri="{FF2B5EF4-FFF2-40B4-BE49-F238E27FC236}">
              <a16:creationId xmlns:a16="http://schemas.microsoft.com/office/drawing/2014/main" id="{0A8F3117-68EA-4BEC-9E78-A3E2EC5BE048}"/>
            </a:ext>
          </a:extLst>
        </xdr:cNvPr>
        <xdr:cNvPicPr>
          <a:picLocks noChangeAspect="1"/>
        </xdr:cNvPicPr>
      </xdr:nvPicPr>
      <xdr:blipFill>
        <a:blip xmlns:r="http://schemas.openxmlformats.org/officeDocument/2006/relationships" r:embed="rId4"/>
        <a:stretch>
          <a:fillRect/>
        </a:stretch>
      </xdr:blipFill>
      <xdr:spPr>
        <a:xfrm>
          <a:off x="3223260" y="990600"/>
          <a:ext cx="938865" cy="359695"/>
        </a:xfrm>
        <a:prstGeom prst="rect">
          <a:avLst/>
        </a:prstGeom>
      </xdr:spPr>
    </xdr:pic>
    <xdr:clientData/>
  </xdr:twoCellAnchor>
  <xdr:twoCellAnchor editAs="oneCell">
    <xdr:from>
      <xdr:col>3</xdr:col>
      <xdr:colOff>320040</xdr:colOff>
      <xdr:row>3</xdr:row>
      <xdr:rowOff>91440</xdr:rowOff>
    </xdr:from>
    <xdr:to>
      <xdr:col>3</xdr:col>
      <xdr:colOff>571500</xdr:colOff>
      <xdr:row>5</xdr:row>
      <xdr:rowOff>22860</xdr:rowOff>
    </xdr:to>
    <xdr:pic>
      <xdr:nvPicPr>
        <xdr:cNvPr id="43" name="Graphic 42" descr="Coins with solid fill">
          <a:extLst>
            <a:ext uri="{FF2B5EF4-FFF2-40B4-BE49-F238E27FC236}">
              <a16:creationId xmlns:a16="http://schemas.microsoft.com/office/drawing/2014/main" id="{9536E9FC-7B56-4D3C-95A1-8BB9D3CDC75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148840" y="640080"/>
          <a:ext cx="251460" cy="297180"/>
        </a:xfrm>
        <a:prstGeom prst="rect">
          <a:avLst/>
        </a:prstGeom>
      </xdr:spPr>
    </xdr:pic>
    <xdr:clientData/>
  </xdr:twoCellAnchor>
  <xdr:twoCellAnchor editAs="oneCell">
    <xdr:from>
      <xdr:col>7</xdr:col>
      <xdr:colOff>175261</xdr:colOff>
      <xdr:row>3</xdr:row>
      <xdr:rowOff>106680</xdr:rowOff>
    </xdr:from>
    <xdr:to>
      <xdr:col>7</xdr:col>
      <xdr:colOff>495301</xdr:colOff>
      <xdr:row>5</xdr:row>
      <xdr:rowOff>114300</xdr:rowOff>
    </xdr:to>
    <xdr:pic>
      <xdr:nvPicPr>
        <xdr:cNvPr id="46" name="Graphic 45" descr="Business Growth with solid fill">
          <a:extLst>
            <a:ext uri="{FF2B5EF4-FFF2-40B4-BE49-F238E27FC236}">
              <a16:creationId xmlns:a16="http://schemas.microsoft.com/office/drawing/2014/main" id="{8E74837E-6F3A-45E3-B017-7311377A81C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4442461" y="655320"/>
          <a:ext cx="320040" cy="373380"/>
        </a:xfrm>
        <a:prstGeom prst="rect">
          <a:avLst/>
        </a:prstGeom>
      </xdr:spPr>
    </xdr:pic>
    <xdr:clientData/>
  </xdr:twoCellAnchor>
  <xdr:twoCellAnchor editAs="oneCell">
    <xdr:from>
      <xdr:col>11</xdr:col>
      <xdr:colOff>45720</xdr:colOff>
      <xdr:row>3</xdr:row>
      <xdr:rowOff>91440</xdr:rowOff>
    </xdr:from>
    <xdr:to>
      <xdr:col>11</xdr:col>
      <xdr:colOff>388620</xdr:colOff>
      <xdr:row>4</xdr:row>
      <xdr:rowOff>152400</xdr:rowOff>
    </xdr:to>
    <xdr:pic>
      <xdr:nvPicPr>
        <xdr:cNvPr id="48" name="Graphic 47" descr="Checklist with solid fill">
          <a:extLst>
            <a:ext uri="{FF2B5EF4-FFF2-40B4-BE49-F238E27FC236}">
              <a16:creationId xmlns:a16="http://schemas.microsoft.com/office/drawing/2014/main" id="{A813C86E-6354-4E04-9ECB-8C45C321F30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6751320" y="640080"/>
          <a:ext cx="342900" cy="243840"/>
        </a:xfrm>
        <a:prstGeom prst="rect">
          <a:avLst/>
        </a:prstGeom>
      </xdr:spPr>
    </xdr:pic>
    <xdr:clientData/>
  </xdr:twoCellAnchor>
  <xdr:twoCellAnchor editAs="oneCell">
    <xdr:from>
      <xdr:col>14</xdr:col>
      <xdr:colOff>487680</xdr:colOff>
      <xdr:row>3</xdr:row>
      <xdr:rowOff>83820</xdr:rowOff>
    </xdr:from>
    <xdr:to>
      <xdr:col>15</xdr:col>
      <xdr:colOff>152400</xdr:colOff>
      <xdr:row>4</xdr:row>
      <xdr:rowOff>152400</xdr:rowOff>
    </xdr:to>
    <xdr:pic>
      <xdr:nvPicPr>
        <xdr:cNvPr id="50" name="Graphic 49" descr="Shopping cart with solid fill">
          <a:extLst>
            <a:ext uri="{FF2B5EF4-FFF2-40B4-BE49-F238E27FC236}">
              <a16:creationId xmlns:a16="http://schemas.microsoft.com/office/drawing/2014/main" id="{FEDF6745-686A-419C-9EFD-E9D02ED880A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9022080" y="632460"/>
          <a:ext cx="274320" cy="251460"/>
        </a:xfrm>
        <a:prstGeom prst="rect">
          <a:avLst/>
        </a:prstGeom>
      </xdr:spPr>
    </xdr:pic>
    <xdr:clientData/>
  </xdr:twoCellAnchor>
  <xdr:twoCellAnchor>
    <xdr:from>
      <xdr:col>3</xdr:col>
      <xdr:colOff>426720</xdr:colOff>
      <xdr:row>9</xdr:row>
      <xdr:rowOff>0</xdr:rowOff>
    </xdr:from>
    <xdr:to>
      <xdr:col>8</xdr:col>
      <xdr:colOff>480060</xdr:colOff>
      <xdr:row>23</xdr:row>
      <xdr:rowOff>121920</xdr:rowOff>
    </xdr:to>
    <xdr:graphicFrame macro="">
      <xdr:nvGraphicFramePr>
        <xdr:cNvPr id="52" name="Chart 51">
          <a:extLst>
            <a:ext uri="{FF2B5EF4-FFF2-40B4-BE49-F238E27FC236}">
              <a16:creationId xmlns:a16="http://schemas.microsoft.com/office/drawing/2014/main" id="{49CCFB82-9822-4BB8-B10E-F0E106750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160020</xdr:colOff>
      <xdr:row>43</xdr:row>
      <xdr:rowOff>60960</xdr:rowOff>
    </xdr:from>
    <xdr:to>
      <xdr:col>19</xdr:col>
      <xdr:colOff>175260</xdr:colOff>
      <xdr:row>59</xdr:row>
      <xdr:rowOff>167640</xdr:rowOff>
    </xdr:to>
    <xdr:sp macro="" textlink="">
      <xdr:nvSpPr>
        <xdr:cNvPr id="53" name="Rectangle 52">
          <a:extLst>
            <a:ext uri="{FF2B5EF4-FFF2-40B4-BE49-F238E27FC236}">
              <a16:creationId xmlns:a16="http://schemas.microsoft.com/office/drawing/2014/main" id="{32AA45E8-375A-4486-9148-2963839A19F8}"/>
            </a:ext>
          </a:extLst>
        </xdr:cNvPr>
        <xdr:cNvSpPr/>
      </xdr:nvSpPr>
      <xdr:spPr>
        <a:xfrm>
          <a:off x="6865620" y="7970520"/>
          <a:ext cx="4892040" cy="30327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              </a:t>
          </a:r>
          <a:r>
            <a:rPr lang="en-IN" sz="1800">
              <a:solidFill>
                <a:srgbClr val="FFFF00"/>
              </a:solidFill>
            </a:rPr>
            <a:t>KEY BUSINESS INSIGHTS</a:t>
          </a:r>
        </a:p>
        <a:p>
          <a:pPr algn="l"/>
          <a:endParaRPr lang="en-IN" sz="1800">
            <a:solidFill>
              <a:srgbClr val="FFFF00"/>
            </a:solidFill>
          </a:endParaRPr>
        </a:p>
        <a:p>
          <a:pPr algn="l"/>
          <a:r>
            <a:rPr lang="en-IN" sz="1800" baseline="0">
              <a:solidFill>
                <a:srgbClr val="FFFF00"/>
              </a:solidFill>
            </a:rPr>
            <a:t>       .  Highest Sales Category:  Electronics</a:t>
          </a:r>
        </a:p>
        <a:p>
          <a:pPr algn="l"/>
          <a:r>
            <a:rPr lang="en-IN" sz="1800" baseline="0">
              <a:solidFill>
                <a:srgbClr val="FFFF00"/>
              </a:solidFill>
            </a:rPr>
            <a:t>       .  Highest Sales City:           Chennai</a:t>
          </a:r>
        </a:p>
        <a:p>
          <a:pPr algn="l"/>
          <a:r>
            <a:rPr lang="en-IN" sz="1800" baseline="0">
              <a:solidFill>
                <a:srgbClr val="FFFF00"/>
              </a:solidFill>
            </a:rPr>
            <a:t>       .  Top-Selling Product:       Wireless Mouse</a:t>
          </a:r>
        </a:p>
        <a:p>
          <a:pPr algn="l"/>
          <a:r>
            <a:rPr lang="en-IN" sz="1800" baseline="0">
              <a:solidFill>
                <a:srgbClr val="FFFF00"/>
              </a:solidFill>
            </a:rPr>
            <a:t>       .  Highest-performing category: Home</a:t>
          </a:r>
        </a:p>
        <a:p>
          <a:pPr algn="l"/>
          <a:r>
            <a:rPr lang="en-IN" sz="1800" baseline="0">
              <a:solidFill>
                <a:srgbClr val="FFFF00"/>
              </a:solidFill>
            </a:rPr>
            <a:t>       .  Highest monthly Sales: October</a:t>
          </a:r>
        </a:p>
        <a:p>
          <a:pPr algn="l"/>
          <a:r>
            <a:rPr lang="en-IN" sz="1800" baseline="0">
              <a:solidFill>
                <a:srgbClr val="FFFF00"/>
              </a:solidFill>
            </a:rPr>
            <a:t>       . Total Profit: $</a:t>
          </a:r>
          <a:r>
            <a:rPr lang="en-IN" sz="1800">
              <a:solidFill>
                <a:srgbClr val="FFFF00"/>
              </a:solidFill>
            </a:rPr>
            <a:t>1269472.03</a:t>
          </a:r>
          <a:endParaRPr lang="en-IN" sz="1800" baseline="0">
            <a:solidFill>
              <a:srgbClr val="FFFF00"/>
            </a:solidFill>
          </a:endParaRPr>
        </a:p>
      </xdr:txBody>
    </xdr:sp>
    <xdr:clientData/>
  </xdr:twoCellAnchor>
  <xdr:twoCellAnchor editAs="oneCell">
    <xdr:from>
      <xdr:col>11</xdr:col>
      <xdr:colOff>495300</xdr:colOff>
      <xdr:row>43</xdr:row>
      <xdr:rowOff>99060</xdr:rowOff>
    </xdr:from>
    <xdr:to>
      <xdr:col>12</xdr:col>
      <xdr:colOff>175260</xdr:colOff>
      <xdr:row>45</xdr:row>
      <xdr:rowOff>83820</xdr:rowOff>
    </xdr:to>
    <xdr:pic>
      <xdr:nvPicPr>
        <xdr:cNvPr id="55" name="Graphic 54" descr="Lightbulb and gear with solid fill">
          <a:extLst>
            <a:ext uri="{FF2B5EF4-FFF2-40B4-BE49-F238E27FC236}">
              <a16:creationId xmlns:a16="http://schemas.microsoft.com/office/drawing/2014/main" id="{0E5BCB2A-ED29-4886-9A46-6C15DB079D4C}"/>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7200900" y="8008620"/>
          <a:ext cx="289560" cy="3505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15240</xdr:colOff>
      <xdr:row>16</xdr:row>
      <xdr:rowOff>106680</xdr:rowOff>
    </xdr:to>
    <xdr:sp macro="" textlink="">
      <xdr:nvSpPr>
        <xdr:cNvPr id="2" name="Rectangle 1">
          <a:extLst>
            <a:ext uri="{FF2B5EF4-FFF2-40B4-BE49-F238E27FC236}">
              <a16:creationId xmlns:a16="http://schemas.microsoft.com/office/drawing/2014/main" id="{7C22EE2A-DBB0-41DA-9A9F-367AF25B1847}"/>
            </a:ext>
          </a:extLst>
        </xdr:cNvPr>
        <xdr:cNvSpPr/>
      </xdr:nvSpPr>
      <xdr:spPr>
        <a:xfrm>
          <a:off x="0" y="0"/>
          <a:ext cx="4892040" cy="303276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              </a:t>
          </a:r>
          <a:r>
            <a:rPr lang="en-IN" sz="1800">
              <a:solidFill>
                <a:srgbClr val="FFFF00"/>
              </a:solidFill>
            </a:rPr>
            <a:t>KEY BUSINESS INSIGHTS</a:t>
          </a:r>
        </a:p>
        <a:p>
          <a:pPr algn="l"/>
          <a:endParaRPr lang="en-IN" sz="1800">
            <a:solidFill>
              <a:srgbClr val="FFFF00"/>
            </a:solidFill>
          </a:endParaRPr>
        </a:p>
        <a:p>
          <a:pPr algn="l"/>
          <a:r>
            <a:rPr lang="en-IN" sz="1800" baseline="0">
              <a:solidFill>
                <a:srgbClr val="FFFF00"/>
              </a:solidFill>
            </a:rPr>
            <a:t>       .  Highest Sales Category:  Electronics</a:t>
          </a:r>
        </a:p>
        <a:p>
          <a:pPr algn="l"/>
          <a:r>
            <a:rPr lang="en-IN" sz="1800" baseline="0">
              <a:solidFill>
                <a:srgbClr val="FFFF00"/>
              </a:solidFill>
            </a:rPr>
            <a:t>       .  Highest Sales City:           Chennai</a:t>
          </a:r>
        </a:p>
        <a:p>
          <a:pPr algn="l"/>
          <a:r>
            <a:rPr lang="en-IN" sz="1800" baseline="0">
              <a:solidFill>
                <a:srgbClr val="FFFF00"/>
              </a:solidFill>
            </a:rPr>
            <a:t>       .  Top-Selling Product:       Wireless Mouse</a:t>
          </a:r>
        </a:p>
        <a:p>
          <a:pPr algn="l"/>
          <a:r>
            <a:rPr lang="en-IN" sz="1800" baseline="0">
              <a:solidFill>
                <a:srgbClr val="FFFF00"/>
              </a:solidFill>
            </a:rPr>
            <a:t>       .  Lowest-performing category: Home</a:t>
          </a:r>
        </a:p>
        <a:p>
          <a:pPr algn="l"/>
          <a:r>
            <a:rPr lang="en-IN" sz="1800" baseline="0">
              <a:solidFill>
                <a:srgbClr val="FFFF00"/>
              </a:solidFill>
            </a:rPr>
            <a:t>       .  Highest monthly Sales: October</a:t>
          </a:r>
        </a:p>
        <a:p>
          <a:pPr algn="l"/>
          <a:r>
            <a:rPr lang="en-IN" sz="1800" baseline="0">
              <a:solidFill>
                <a:srgbClr val="FFFF00"/>
              </a:solidFill>
            </a:rPr>
            <a:t>       . Total Profit: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 refreshedDate="46289.667197800925" createdVersion="7" refreshedVersion="7" minRefreshableVersion="3" recordCount="498" xr:uid="{39F266B7-D0A8-4223-8EEF-8DA561EED6A9}">
  <cacheSource type="worksheet">
    <worksheetSource ref="A1:S499" sheet="Cleaned Data"/>
  </cacheSource>
  <cacheFields count="19">
    <cacheField name="Order_ID" numFmtId="0">
      <sharedItems count="498">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8"/>
        <s v="ORD1499"/>
        <s v="ORD1500"/>
      </sharedItems>
    </cacheField>
    <cacheField name="Order_Date" numFmtId="14">
      <sharedItems containsSemiMixedTypes="0" containsNonDate="0" containsDate="1" containsString="0" minDate="2028-04-14T00:00:00" maxDate="2029-08-25T00:00:00"/>
    </cacheField>
    <cacheField name="Year" numFmtId="14">
      <sharedItems/>
    </cacheField>
    <cacheField name="Month" numFmtId="14">
      <sharedItems count="12">
        <s v="04"/>
        <s v="05"/>
        <s v="06"/>
        <s v="07"/>
        <s v="08"/>
        <s v="09"/>
        <s v="10"/>
        <s v="11"/>
        <s v="12"/>
        <s v="01"/>
        <s v="02"/>
        <s v="03"/>
      </sharedItems>
    </cacheField>
    <cacheField name="Customer_Name" numFmtId="0">
      <sharedItems/>
    </cacheField>
    <cacheField name="Gender" numFmtId="0">
      <sharedItems count="2">
        <s v="Male"/>
        <s v="Female"/>
      </sharedItems>
    </cacheField>
    <cacheField name="City" numFmtId="0">
      <sharedItems count="7">
        <s v="Chennai"/>
        <s v="Bangalore"/>
        <s v="Salem"/>
        <s v="Madurai"/>
        <s v="Coimbatore"/>
        <s v="Hyderabad"/>
        <s v="Unknown"/>
      </sharedItems>
    </cacheField>
    <cacheField name="Category" numFmtId="0">
      <sharedItems count="4">
        <s v="Grocery"/>
        <s v="Electronics"/>
        <s v="Home"/>
        <s v="Clothing"/>
      </sharedItems>
    </cacheField>
    <cacheField name="Product" numFmtId="0">
      <sharedItems count="20">
        <s v="Wheat Flour"/>
        <s v="Wireless Mouse"/>
        <s v="Curtains"/>
        <s v="Jeans"/>
        <s v="T-Shirt"/>
        <s v="Storage Box"/>
        <s v="Headphones"/>
        <s v="Bedsheet"/>
        <s v="Kurti"/>
        <s v="Power Bank"/>
        <s v="Tea"/>
        <s v="Keyboard"/>
        <s v="Sugar"/>
        <s v="Rice"/>
        <s v="Lamp"/>
        <s v="Water Bottle"/>
        <s v="Shirt"/>
        <s v="Cooking Oil"/>
        <s v="Jacket"/>
        <s v="USB Cable"/>
      </sharedItems>
    </cacheField>
    <cacheField name="Quantity" numFmtId="0">
      <sharedItems containsSemiMixedTypes="0" containsString="0" containsNumber="1" containsInteger="1" minValue="1" maxValue="8"/>
    </cacheField>
    <cacheField name="Unit_Price" numFmtId="0">
      <sharedItems containsSemiMixedTypes="0" containsString="0" containsNumber="1" containsInteger="1" minValue="55" maxValue="1999"/>
    </cacheField>
    <cacheField name="Discount" numFmtId="0">
      <sharedItems containsSemiMixedTypes="0" containsString="0" containsNumber="1" minValue="0" maxValue="0.2"/>
    </cacheField>
    <cacheField name="Cost" numFmtId="0">
      <sharedItems containsSemiMixedTypes="0" containsString="0" containsNumber="1" minValue="33.35" maxValue="11764.15"/>
    </cacheField>
    <cacheField name="Payment_Mode" numFmtId="0">
      <sharedItems count="5">
        <s v="Net Banking"/>
        <s v="UPI"/>
        <s v="Cash"/>
        <s v="Credit Card"/>
        <s v="Debit Card"/>
      </sharedItems>
    </cacheField>
    <cacheField name="Sales" numFmtId="0">
      <sharedItems containsSemiMixedTypes="0" containsString="0" containsNumber="1" containsInteger="1" minValue="55" maxValue="15992"/>
    </cacheField>
    <cacheField name="Discount Amount" numFmtId="0">
      <sharedItems containsSemiMixedTypes="0" containsString="0" containsNumber="1" minValue="0" maxValue="2798.6000000000004"/>
    </cacheField>
    <cacheField name="Net_Sales" numFmtId="0">
      <sharedItems containsBlank="1" containsMixedTypes="1" containsNumber="1" minValue="239.8" maxValue="12791.85" count="33">
        <n v="1679.95"/>
        <n v="2395.9499999999998"/>
        <n v="7495"/>
        <n v="9594"/>
        <n v="2997.85"/>
        <n v="798.95"/>
        <n v="2096.9"/>
        <n v="12791.85"/>
        <n v="10492.9"/>
        <n v="6494.95"/>
        <n v="2795.95"/>
        <n v="2397.85"/>
        <n v="6494.9"/>
        <n v="719.8"/>
        <n v="419.8"/>
        <n v="1798"/>
        <n v="4496.8999999999996"/>
        <n v="329.85"/>
        <n v="2599.8000000000002"/>
        <n v="2997.8"/>
        <n v="10391.85"/>
        <n v="899"/>
        <n v="9092.9500000000007"/>
        <n v="3492.9"/>
        <n v="3996"/>
        <n v="4497"/>
        <n v="2397.8000000000002"/>
        <n v="719.9"/>
        <n v="4791.8"/>
        <n v="2520"/>
        <n v="239.8"/>
        <b v="1"/>
        <m/>
      </sharedItems>
    </cacheField>
    <cacheField name="Profit" numFmtId="0">
      <sharedItems containsSemiMixedTypes="0" containsString="0" containsNumber="1" minValue="-11764.15" maxValue="4720.3" count="498">
        <n v="384.77"/>
        <n v="714.89999999999986"/>
        <n v="1666.5699999999997"/>
        <n v="4050.3599999999997"/>
        <n v="1278.08"/>
        <n v="174.20000000000005"/>
        <n v="720.05000000000018"/>
        <n v="4720.3"/>
        <n v="4513.3899999999994"/>
        <n v="2442.1499999999996"/>
        <n v="830.75999999999976"/>
        <n v="804.40999999999985"/>
        <n v="2705.2899999999995"/>
        <n v="126.66999999999996"/>
        <n v="147.96000000000004"/>
        <n v="414.30999999999995"/>
        <n v="1311.6699999999996"/>
        <n v="59.29000000000002"/>
        <n v="998.0300000000002"/>
        <n v="1134.8400000000001"/>
        <n v="4082.63"/>
        <n v="388.2"/>
        <n v="3331.9600000000009"/>
        <n v="786.01999999999975"/>
        <n v="600.84999999999991"/>
        <n v="1103.8800000000001"/>
        <n v="727.46"/>
        <n v="901.77000000000021"/>
        <n v="272.33999999999997"/>
        <n v="720.82000000000016"/>
        <n v="469.27"/>
        <n v="86.240000000000009"/>
        <n v="-3061.88"/>
        <n v="-2361.61"/>
        <n v="-5801.59"/>
        <n v="-2310.9899999999998"/>
        <n v="-8130.43"/>
        <n v="-4405.88"/>
        <n v="-5727.58"/>
        <n v="-235.92"/>
        <n v="-3771.91"/>
        <n v="-90.18"/>
        <n v="-5836.79"/>
        <n v="-777.43"/>
        <n v="-4639.91"/>
        <n v="-331.18"/>
        <n v="-1605.22"/>
        <n v="-2021.65"/>
        <n v="-1252.8599999999999"/>
        <n v="-5052.3999999999996"/>
        <n v="-9270.9699999999993"/>
        <n v="-1214.17"/>
        <n v="-285.72000000000003"/>
        <n v="-3720.66"/>
        <n v="-5017.2299999999996"/>
        <n v="-3264.88"/>
        <n v="-2554.7199999999998"/>
        <n v="-5872.37"/>
        <n v="-172.06"/>
        <n v="-667.07"/>
        <n v="-2000.72"/>
        <n v="-3252.61"/>
        <n v="-2426.27"/>
        <n v="-5988.22"/>
        <n v="-3806.17"/>
        <n v="-6037.33"/>
        <n v="-562.89"/>
        <n v="-497.74"/>
        <n v="-7557.34"/>
        <n v="-4291.96"/>
        <n v="-2163.9699999999998"/>
        <n v="-5053.68"/>
        <n v="-1614.51"/>
        <n v="-2727.7"/>
        <n v="-349.57"/>
        <n v="-772.59"/>
        <n v="-3982.02"/>
        <n v="-1916.43"/>
        <n v="-2202.11"/>
        <n v="-3420.23"/>
        <n v="-1480.63"/>
        <n v="-2933.59"/>
        <n v="-1010.4"/>
        <n v="-649.86"/>
        <n v="-11764.15"/>
        <n v="-4089.2"/>
        <n v="-4382.8999999999996"/>
        <n v="-4190.78"/>
        <n v="-4686.7299999999996"/>
        <n v="-5614.11"/>
        <n v="-960.5"/>
        <n v="-3795.35"/>
        <n v="-984.91"/>
        <n v="-1117.02"/>
        <n v="-2263.9899999999998"/>
        <n v="-3060.8"/>
        <n v="-1014.97"/>
        <n v="-1920.83"/>
        <n v="-736.46"/>
        <n v="-117.04"/>
        <n v="-6864.67"/>
        <n v="-225.41"/>
        <n v="-2646.04"/>
        <n v="-4138.83"/>
        <n v="-565.85"/>
        <n v="-1050.32"/>
        <n v="-1727.66"/>
        <n v="-8402.26"/>
        <n v="-3079.58"/>
        <n v="-1464.76"/>
        <n v="-1449.52"/>
        <n v="-874.58"/>
        <n v="-1850.39"/>
        <n v="-1171.69"/>
        <n v="-3199.98"/>
        <n v="-444.02"/>
        <n v="-6388.37"/>
        <n v="-339.16"/>
        <n v="-1181.48"/>
        <n v="-1380.26"/>
        <n v="-673.36"/>
        <n v="-4386.7299999999996"/>
        <n v="-1767.3"/>
        <n v="-303.35000000000002"/>
        <n v="-7258.27"/>
        <n v="-816.53"/>
        <n v="-2146.4299999999998"/>
        <n v="-1453.91"/>
        <n v="-3881.52"/>
        <n v="-771.4"/>
        <n v="-1483.58"/>
        <n v="-8291.73"/>
        <n v="-3565.52"/>
        <n v="-1009.98"/>
        <n v="-570.34"/>
        <n v="-2197.87"/>
        <n v="-2927.05"/>
        <n v="-8025.44"/>
        <n v="-1127.83"/>
        <n v="-1936.83"/>
        <n v="-921.63"/>
        <n v="-3721.56"/>
        <n v="-1651.98"/>
        <n v="-2320.67"/>
        <n v="-6730.9"/>
        <n v="-739.62"/>
        <n v="-3081.15"/>
        <n v="-6779.86"/>
        <n v="-398.27"/>
        <n v="-1496.67"/>
        <n v="-8330.9699999999993"/>
        <n v="-352.36"/>
        <n v="-2342.2199999999998"/>
        <n v="-3115.28"/>
        <n v="-2135.21"/>
        <n v="-6588.52"/>
        <n v="-3392.23"/>
        <n v="-1894.25"/>
        <n v="-395.62"/>
        <n v="-348.28"/>
        <n v="-7634.01"/>
        <n v="-1597.66"/>
        <n v="-216.03"/>
        <n v="-2202.98"/>
        <n v="-1771.76"/>
        <n v="-647.27"/>
        <n v="-2484.79"/>
        <n v="-2060.39"/>
        <n v="-3634.84"/>
        <n v="-315.08"/>
        <n v="-2684.59"/>
        <n v="-233.42"/>
        <n v="-4294.8999999999996"/>
        <n v="-2951.56"/>
        <n v="-2105.0300000000002"/>
        <n v="-3266.81"/>
        <n v="-401.6"/>
        <n v="-4604.71"/>
        <n v="-5238.91"/>
        <n v="-5231.13"/>
        <n v="-3568.23"/>
        <n v="-2569.86"/>
        <n v="-3694.85"/>
        <n v="-1057.44"/>
        <n v="-3122.78"/>
        <n v="-3244.18"/>
        <n v="-999.81"/>
        <n v="-1038.8499999999999"/>
        <n v="-5000.42"/>
        <n v="-980.53"/>
        <n v="-1557.82"/>
        <n v="-3235"/>
        <n v="-2503.5"/>
        <n v="-454"/>
        <n v="-5060.62"/>
        <n v="-3326.19"/>
        <n v="-1286.93"/>
        <n v="-457.68"/>
        <n v="-4003.31"/>
        <n v="-5956.46"/>
        <n v="-4368.63"/>
        <n v="-7242.56"/>
        <n v="-1068.2"/>
        <n v="-2328.46"/>
        <n v="-5902.64"/>
        <n v="-998.93"/>
        <n v="-2050.0300000000002"/>
        <n v="-2125.1999999999998"/>
        <n v="-7584.72"/>
        <n v="-2939.62"/>
        <n v="-1787.85"/>
        <n v="-805.57"/>
        <n v="-2192.7199999999998"/>
        <n v="-354.34"/>
        <n v="-3322.58"/>
        <n v="-3615.33"/>
        <n v="-2479.52"/>
        <n v="-289.64"/>
        <n v="-5542.6"/>
        <n v="-347.86"/>
        <n v="-7421.61"/>
        <n v="-6548.41"/>
        <n v="-2810.27"/>
        <n v="-3616.96"/>
        <n v="-549.79999999999995"/>
        <n v="-4924.7299999999996"/>
        <n v="-1302.44"/>
        <n v="-6965.07"/>
        <n v="-665.99"/>
        <n v="-436.87"/>
        <n v="-4733.96"/>
        <n v="-1775.99"/>
        <n v="-2793.2"/>
        <n v="-1787.94"/>
        <n v="-807.89"/>
        <n v="-2973.07"/>
        <n v="-33.35"/>
        <n v="-3064.64"/>
        <n v="-3100.54"/>
        <n v="-834.6"/>
        <n v="-1107.51"/>
        <n v="-6369.95"/>
        <n v="-5536.63"/>
        <n v="-1082.79"/>
        <n v="-1475.63"/>
        <n v="-357.03"/>
        <n v="-2648.58"/>
        <n v="-516.34"/>
        <n v="-1154.94"/>
        <n v="-1444.87"/>
        <n v="-9018.99"/>
        <n v="-1542.47"/>
        <n v="-9088.7199999999993"/>
        <n v="-780"/>
        <n v="-288.97000000000003"/>
        <n v="-529.53"/>
        <n v="-1082.75"/>
        <n v="-4512.68"/>
        <n v="-350.12"/>
        <n v="-1409.84"/>
        <n v="-99.03"/>
        <n v="-524.26"/>
        <n v="-1191.1600000000001"/>
        <n v="-5000.1000000000004"/>
        <n v="-1129.81"/>
        <n v="-4412.34"/>
        <n v="-8307.2000000000007"/>
        <n v="-1605.6"/>
        <n v="-5886.88"/>
        <n v="-1688.18"/>
        <n v="-4641.24"/>
        <n v="-333.14"/>
        <n v="-87.93"/>
        <n v="-11080.04"/>
        <n v="-1046.18"/>
        <n v="-4305.57"/>
        <n v="-732.62"/>
        <n v="-5782.02"/>
        <n v="-1767.24"/>
        <n v="-6612.47"/>
        <n v="-1281.94"/>
        <n v="-8475.93"/>
        <n v="-1011.27"/>
        <n v="-7853.36"/>
        <n v="-1940.81"/>
        <n v="-2596.46"/>
        <n v="-7166.27"/>
        <n v="-3078.71"/>
        <n v="-8873.5400000000009"/>
        <n v="-4943.93"/>
        <n v="-402.64"/>
        <n v="-3830.62"/>
        <n v="-5322.72"/>
        <n v="-318.82"/>
        <n v="-6350.68"/>
        <n v="-405.33"/>
        <n v="-2964.54"/>
        <n v="-4958.34"/>
        <n v="-1319.68"/>
        <n v="-396.77"/>
        <n v="-1393.14"/>
        <n v="-595.26"/>
        <n v="-1538.03"/>
        <n v="-1248.8900000000001"/>
        <n v="-4389.54"/>
        <n v="-1258.3699999999999"/>
        <n v="-1988.2"/>
        <n v="-1633.25"/>
        <n v="-4670.42"/>
        <n v="-1848.38"/>
        <n v="-748.05"/>
        <n v="-607.6"/>
        <n v="-1641"/>
        <n v="-2058.3000000000002"/>
        <n v="-1502.97"/>
        <n v="-592.61"/>
        <n v="-1856.25"/>
        <n v="-3036.55"/>
        <n v="-3435.51"/>
        <n v="-1477.9"/>
        <n v="-4505.59"/>
        <n v="-5578.08"/>
        <n v="-9620.7099999999991"/>
        <n v="-373.62"/>
        <n v="-2648.87"/>
        <n v="-4633.16"/>
        <n v="-158.71"/>
        <n v="-706.04"/>
        <n v="-4008.98"/>
        <n v="-638.49"/>
        <n v="-3614.73"/>
        <n v="-367.37"/>
        <n v="-1657.08"/>
        <n v="-3635.47"/>
        <n v="-6754.24"/>
        <n v="-362.47"/>
        <n v="-4909.1000000000004"/>
        <n v="-2389.1"/>
        <n v="-1302.1600000000001"/>
        <n v="-600.85"/>
        <n v="-437.57"/>
        <n v="-7921.13"/>
        <n v="-3174"/>
        <n v="-992.32"/>
        <n v="-808.98"/>
        <n v="-1095.3399999999999"/>
        <n v="-1306.78"/>
        <n v="-4544.6899999999996"/>
        <n v="-5131.1000000000004"/>
        <n v="-4109.58"/>
        <n v="-2934.07"/>
        <n v="-2557.56"/>
        <n v="-8580.68"/>
        <n v="-2997.57"/>
        <n v="-1731.78"/>
        <n v="-3341.03"/>
        <n v="-5150.43"/>
        <n v="-1193.83"/>
        <n v="-1590.25"/>
        <n v="-3187.87"/>
        <n v="-3088.52"/>
        <n v="-2444.84"/>
        <n v="-1131.79"/>
        <n v="-2830.7"/>
        <n v="-205.27"/>
        <n v="-120.88"/>
        <n v="-5235.75"/>
        <n v="-1277.73"/>
        <n v="-5926.42"/>
        <n v="-2680.71"/>
        <n v="-2195.44"/>
        <n v="-7915.42"/>
        <n v="-5387.89"/>
        <n v="-1173.57"/>
        <n v="-1037.6500000000001"/>
        <n v="-812.57"/>
        <n v="-2841.33"/>
        <n v="-506.21"/>
        <n v="-6329.87"/>
        <n v="-1229"/>
        <n v="-11229.49"/>
        <n v="-688.5"/>
        <n v="-1651.5"/>
        <n v="-216.5"/>
        <n v="-846.5"/>
        <n v="-6108.02"/>
        <n v="-2936.61"/>
        <n v="-9389.56"/>
        <n v="-776.28"/>
        <n v="-5647.79"/>
        <n v="-2056.9"/>
        <n v="-6194.08"/>
        <n v="-1121.52"/>
        <n v="-203.62"/>
        <n v="-1404.29"/>
        <n v="-7856.58"/>
        <n v="-1517.76"/>
        <n v="-4182.6000000000004"/>
        <n v="-656.83"/>
        <n v="-2057.64"/>
        <n v="-3157.96"/>
        <n v="-1772.63"/>
        <n v="-562.86"/>
        <n v="-2024.2"/>
        <n v="-6668.87"/>
        <n v="-745"/>
        <n v="-359.29"/>
        <n v="-1445.96"/>
        <n v="-3506.88"/>
        <n v="-1637.16"/>
        <n v="-2351.2199999999998"/>
        <n v="-5737.89"/>
        <n v="-85.56"/>
        <n v="-811.78"/>
        <n v="-562.77"/>
        <n v="-3767.35"/>
        <n v="-924.27"/>
        <n v="-3484.65"/>
        <n v="-5882.14"/>
        <n v="-1065.28"/>
        <n v="-898.06"/>
        <n v="-6671.22"/>
        <n v="-792.35"/>
        <n v="-333.57"/>
        <n v="-5377.51"/>
        <n v="-2766.78"/>
        <n v="-6753.53"/>
        <n v="-940.76"/>
        <n v="-1076.3399999999999"/>
        <n v="-2402.36"/>
        <n v="-2440.17"/>
        <n v="-1125.27"/>
        <n v="-68.97"/>
        <n v="-736.72"/>
        <n v="-1225.8599999999999"/>
        <n v="-1029.5899999999999"/>
        <n v="-1591.38"/>
        <n v="-3596.99"/>
        <n v="-2091.14"/>
        <n v="-536.61"/>
        <n v="-4292.05"/>
        <n v="-1837.82"/>
        <n v="-4672.17"/>
        <n v="-1737.22"/>
        <n v="-2280.92"/>
        <n v="-518.44000000000005"/>
        <n v="-8977.16"/>
        <n v="-2500.6799999999998"/>
        <n v="-6157.43"/>
        <n v="-4290.01"/>
        <n v="-4477.72"/>
        <n v="-1596.92"/>
        <n v="-544.13"/>
        <n v="-3726.73"/>
        <n v="-402.9"/>
        <n v="-11126.83"/>
        <n v="-2061.54"/>
        <n v="-323.7"/>
        <n v="-3338.73"/>
        <n v="-2337.8200000000002"/>
        <n v="-1903.09"/>
        <n v="-4485.12"/>
        <n v="-3710.76"/>
        <n v="-5249.76"/>
        <n v="-1412.52"/>
        <n v="-4268.74"/>
        <n v="-1895.21"/>
        <n v="-1434.51"/>
        <n v="-3939.98"/>
        <n v="-157.44"/>
        <n v="-2283.31"/>
        <n v="-2141.86"/>
        <n v="-690.12"/>
        <n v="-1121.53"/>
        <n v="-3978.71"/>
        <n v="-3945.56"/>
        <n v="-234.89"/>
        <n v="-1208.1400000000001"/>
        <n v="-903.16"/>
        <n v="-301.32"/>
        <n v="-5880.4"/>
        <n v="-944.9"/>
        <n v="-1406.33"/>
        <n v="-454.12"/>
        <n v="-2440.88"/>
        <n v="-2645.12"/>
        <n v="-166.34"/>
        <n v="-4652.8"/>
        <n v="-1649.87"/>
        <n v="-7272.12"/>
        <n v="-5442.94"/>
        <n v="-4034.2"/>
        <n v="-1789.93"/>
        <n v="-4988.24"/>
        <n v="-2214.71"/>
        <n v="-122.46"/>
        <n v="-3473.98"/>
        <n v="-3356.29"/>
      </sharedItems>
    </cacheField>
    <cacheField name="Profit_Margin" numFmtId="10">
      <sharedItems containsSemiMixedTypes="0" containsString="0" containsNumber="1" minValue="-3061.88" maxValue="0.4318131256952169"/>
    </cacheField>
  </cacheFields>
  <extLst>
    <ext xmlns:x14="http://schemas.microsoft.com/office/spreadsheetml/2009/9/main" uri="{725AE2AE-9491-48be-B2B4-4EB974FC3084}">
      <x14:pivotCacheDefinition pivotCacheId="18214648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8">
  <r>
    <x v="0"/>
    <d v="2028-04-14T00:00:00"/>
    <s v="2028"/>
    <x v="0"/>
    <s v="Priya"/>
    <x v="0"/>
    <x v="0"/>
    <x v="0"/>
    <x v="0"/>
    <n v="4"/>
    <n v="420"/>
    <n v="0.05"/>
    <n v="1295.18"/>
    <x v="0"/>
    <n v="1680"/>
    <n v="84"/>
    <x v="0"/>
    <x v="0"/>
    <n v="0.2290365784695973"/>
  </r>
  <r>
    <x v="1"/>
    <d v="2028-04-15T00:00:00"/>
    <s v="2028"/>
    <x v="0"/>
    <s v="Suresh"/>
    <x v="1"/>
    <x v="1"/>
    <x v="1"/>
    <x v="1"/>
    <n v="4"/>
    <n v="599"/>
    <n v="0.05"/>
    <n v="1681.05"/>
    <x v="1"/>
    <n v="2396"/>
    <n v="119.80000000000001"/>
    <x v="1"/>
    <x v="1"/>
    <n v="0.29837851374193947"/>
  </r>
  <r>
    <x v="2"/>
    <d v="2028-04-16T00:00:00"/>
    <s v="2028"/>
    <x v="0"/>
    <s v="Shahina"/>
    <x v="1"/>
    <x v="2"/>
    <x v="2"/>
    <x v="2"/>
    <n v="5"/>
    <n v="1499"/>
    <n v="0"/>
    <n v="5828.43"/>
    <x v="2"/>
    <n v="7495"/>
    <n v="0"/>
    <x v="2"/>
    <x v="2"/>
    <n v="0.22235757171447629"/>
  </r>
  <r>
    <x v="3"/>
    <d v="2028-04-17T00:00:00"/>
    <s v="2028"/>
    <x v="0"/>
    <s v="Anitha"/>
    <x v="1"/>
    <x v="0"/>
    <x v="3"/>
    <x v="3"/>
    <n v="6"/>
    <n v="1599"/>
    <n v="0"/>
    <n v="5543.64"/>
    <x v="1"/>
    <n v="9594"/>
    <n v="0"/>
    <x v="3"/>
    <x v="3"/>
    <n v="0.42217636022514066"/>
  </r>
  <r>
    <x v="4"/>
    <d v="2028-04-18T00:00:00"/>
    <s v="2028"/>
    <x v="0"/>
    <s v="Rahul"/>
    <x v="1"/>
    <x v="3"/>
    <x v="2"/>
    <x v="2"/>
    <n v="2"/>
    <n v="1499"/>
    <n v="0.15"/>
    <n v="1719.77"/>
    <x v="3"/>
    <n v="2998"/>
    <n v="449.7"/>
    <x v="4"/>
    <x v="4"/>
    <n v="0.42633220474673517"/>
  </r>
  <r>
    <x v="5"/>
    <d v="2028-04-19T00:00:00"/>
    <s v="2028"/>
    <x v="0"/>
    <s v="Suresh"/>
    <x v="1"/>
    <x v="2"/>
    <x v="3"/>
    <x v="4"/>
    <n v="1"/>
    <n v="799"/>
    <n v="0.05"/>
    <n v="624.75"/>
    <x v="1"/>
    <n v="799"/>
    <n v="39.950000000000003"/>
    <x v="5"/>
    <x v="5"/>
    <n v="0.2180361724763753"/>
  </r>
  <r>
    <x v="6"/>
    <d v="2028-04-20T00:00:00"/>
    <s v="2028"/>
    <x v="0"/>
    <s v="Priya"/>
    <x v="1"/>
    <x v="3"/>
    <x v="2"/>
    <x v="5"/>
    <n v="3"/>
    <n v="699"/>
    <n v="0.1"/>
    <n v="1376.85"/>
    <x v="3"/>
    <n v="2097"/>
    <n v="209.70000000000002"/>
    <x v="6"/>
    <x v="6"/>
    <n v="0.34338785826696561"/>
  </r>
  <r>
    <x v="7"/>
    <d v="2028-04-21T00:00:00"/>
    <s v="2028"/>
    <x v="0"/>
    <s v="Priya"/>
    <x v="0"/>
    <x v="1"/>
    <x v="3"/>
    <x v="3"/>
    <n v="8"/>
    <n v="1599"/>
    <n v="0.15"/>
    <n v="8071.55"/>
    <x v="0"/>
    <n v="12792"/>
    <n v="1918.8"/>
    <x v="7"/>
    <x v="7"/>
    <n v="0.36900839206213332"/>
  </r>
  <r>
    <x v="8"/>
    <d v="2028-04-22T00:00:00"/>
    <s v="2028"/>
    <x v="0"/>
    <s v="Rahul"/>
    <x v="0"/>
    <x v="4"/>
    <x v="1"/>
    <x v="6"/>
    <n v="7"/>
    <n v="1499"/>
    <n v="0.1"/>
    <n v="5979.51"/>
    <x v="0"/>
    <n v="10493"/>
    <n v="1049.3"/>
    <x v="8"/>
    <x v="8"/>
    <n v="0.43013752156219914"/>
  </r>
  <r>
    <x v="9"/>
    <d v="2028-04-23T00:00:00"/>
    <s v="2028"/>
    <x v="0"/>
    <s v="Shahina"/>
    <x v="1"/>
    <x v="3"/>
    <x v="2"/>
    <x v="7"/>
    <n v="5"/>
    <n v="1299"/>
    <n v="0.05"/>
    <n v="4052.8"/>
    <x v="0"/>
    <n v="6495"/>
    <n v="324.75"/>
    <x v="9"/>
    <x v="9"/>
    <n v="0.37600751352974227"/>
  </r>
  <r>
    <x v="10"/>
    <d v="2028-04-24T00:00:00"/>
    <s v="2028"/>
    <x v="0"/>
    <s v="Divya"/>
    <x v="1"/>
    <x v="5"/>
    <x v="2"/>
    <x v="5"/>
    <n v="4"/>
    <n v="699"/>
    <n v="0.05"/>
    <n v="1965.19"/>
    <x v="1"/>
    <n v="2796"/>
    <n v="139.80000000000001"/>
    <x v="10"/>
    <x v="10"/>
    <n v="0.29712977699887333"/>
  </r>
  <r>
    <x v="11"/>
    <d v="2028-04-25T00:00:00"/>
    <s v="2028"/>
    <x v="0"/>
    <s v="Priya"/>
    <x v="0"/>
    <x v="5"/>
    <x v="3"/>
    <x v="8"/>
    <n v="2"/>
    <n v="1199"/>
    <n v="0.15"/>
    <n v="1593.44"/>
    <x v="4"/>
    <n v="2398"/>
    <n v="359.7"/>
    <x v="11"/>
    <x v="11"/>
    <n v="0.33547135975978476"/>
  </r>
  <r>
    <x v="12"/>
    <d v="2028-04-26T00:00:00"/>
    <s v="2028"/>
    <x v="0"/>
    <s v="Divya"/>
    <x v="0"/>
    <x v="5"/>
    <x v="1"/>
    <x v="9"/>
    <n v="5"/>
    <n v="1299"/>
    <n v="0.1"/>
    <n v="3789.61"/>
    <x v="4"/>
    <n v="6495"/>
    <n v="649.5"/>
    <x v="12"/>
    <x v="12"/>
    <n v="0.41652527367626901"/>
  </r>
  <r>
    <x v="13"/>
    <d v="2028-04-27T00:00:00"/>
    <s v="2028"/>
    <x v="0"/>
    <s v="Vijay"/>
    <x v="0"/>
    <x v="1"/>
    <x v="0"/>
    <x v="10"/>
    <n v="3"/>
    <n v="240"/>
    <n v="0.2"/>
    <n v="593.13"/>
    <x v="3"/>
    <n v="720"/>
    <n v="144"/>
    <x v="13"/>
    <x v="13"/>
    <n v="0.17597943873298133"/>
  </r>
  <r>
    <x v="14"/>
    <d v="2028-04-28T00:00:00"/>
    <s v="2028"/>
    <x v="0"/>
    <s v="Meena"/>
    <x v="0"/>
    <x v="1"/>
    <x v="0"/>
    <x v="0"/>
    <n v="1"/>
    <n v="420"/>
    <n v="0.2"/>
    <n v="271.83999999999997"/>
    <x v="1"/>
    <n v="420"/>
    <n v="84"/>
    <x v="14"/>
    <x v="14"/>
    <n v="0.35245354930919492"/>
  </r>
  <r>
    <x v="15"/>
    <d v="2028-04-29T00:00:00"/>
    <s v="2028"/>
    <x v="0"/>
    <s v="Rahul"/>
    <x v="1"/>
    <x v="5"/>
    <x v="1"/>
    <x v="11"/>
    <n v="2"/>
    <n v="899"/>
    <n v="0"/>
    <n v="1383.69"/>
    <x v="1"/>
    <n v="1798"/>
    <n v="0"/>
    <x v="15"/>
    <x v="15"/>
    <n v="0.23042825361512789"/>
  </r>
  <r>
    <x v="16"/>
    <d v="2028-04-30T00:00:00"/>
    <s v="2028"/>
    <x v="0"/>
    <s v="Kumar"/>
    <x v="0"/>
    <x v="5"/>
    <x v="2"/>
    <x v="2"/>
    <n v="3"/>
    <n v="1499"/>
    <n v="0.1"/>
    <n v="3185.23"/>
    <x v="0"/>
    <n v="4497"/>
    <n v="449.70000000000005"/>
    <x v="16"/>
    <x v="16"/>
    <n v="0.29168315950988455"/>
  </r>
  <r>
    <x v="17"/>
    <d v="2028-05-01T00:00:00"/>
    <s v="2028"/>
    <x v="1"/>
    <s v="Shahina"/>
    <x v="0"/>
    <x v="0"/>
    <x v="0"/>
    <x v="12"/>
    <n v="6"/>
    <n v="55"/>
    <n v="0.15"/>
    <n v="270.56"/>
    <x v="4"/>
    <n v="330"/>
    <n v="49.5"/>
    <x v="17"/>
    <x v="17"/>
    <n v="0.17974837047142644"/>
  </r>
  <r>
    <x v="18"/>
    <d v="2028-05-02T00:00:00"/>
    <s v="2028"/>
    <x v="1"/>
    <s v="Shahina"/>
    <x v="0"/>
    <x v="0"/>
    <x v="0"/>
    <x v="13"/>
    <n v="4"/>
    <n v="650"/>
    <n v="0.2"/>
    <n v="1601.77"/>
    <x v="1"/>
    <n v="2600"/>
    <n v="520"/>
    <x v="18"/>
    <x v="18"/>
    <n v="0.38388722209400727"/>
  </r>
  <r>
    <x v="19"/>
    <d v="2028-05-03T00:00:00"/>
    <s v="2028"/>
    <x v="1"/>
    <s v="Arun"/>
    <x v="0"/>
    <x v="5"/>
    <x v="1"/>
    <x v="6"/>
    <n v="2"/>
    <n v="1499"/>
    <n v="0.2"/>
    <n v="1862.96"/>
    <x v="4"/>
    <n v="2998"/>
    <n v="599.6"/>
    <x v="19"/>
    <x v="19"/>
    <n v="0.37855760891320306"/>
  </r>
  <r>
    <x v="20"/>
    <d v="2028-05-04T00:00:00"/>
    <s v="2028"/>
    <x v="1"/>
    <s v="Meena"/>
    <x v="0"/>
    <x v="4"/>
    <x v="2"/>
    <x v="7"/>
    <n v="8"/>
    <n v="1299"/>
    <n v="0.15"/>
    <n v="6309.22"/>
    <x v="1"/>
    <n v="10392"/>
    <n v="1558.8"/>
    <x v="20"/>
    <x v="20"/>
    <n v="0.39286844979479113"/>
  </r>
  <r>
    <x v="21"/>
    <d v="2028-05-05T00:00:00"/>
    <s v="2028"/>
    <x v="1"/>
    <s v="Anitha"/>
    <x v="1"/>
    <x v="1"/>
    <x v="2"/>
    <x v="14"/>
    <n v="1"/>
    <n v="899"/>
    <n v="0"/>
    <n v="510.8"/>
    <x v="3"/>
    <n v="899"/>
    <n v="0"/>
    <x v="21"/>
    <x v="21"/>
    <n v="0.4318131256952169"/>
  </r>
  <r>
    <x v="22"/>
    <d v="2028-05-06T00:00:00"/>
    <s v="2028"/>
    <x v="1"/>
    <s v="Shahina"/>
    <x v="0"/>
    <x v="0"/>
    <x v="2"/>
    <x v="7"/>
    <n v="7"/>
    <n v="1299"/>
    <n v="0.05"/>
    <n v="5760.99"/>
    <x v="2"/>
    <n v="9093"/>
    <n v="454.65000000000003"/>
    <x v="22"/>
    <x v="22"/>
    <n v="0.36643333571613179"/>
  </r>
  <r>
    <x v="23"/>
    <d v="2028-05-07T00:00:00"/>
    <s v="2028"/>
    <x v="1"/>
    <s v="Vijay"/>
    <x v="0"/>
    <x v="1"/>
    <x v="1"/>
    <x v="1"/>
    <n v="4"/>
    <n v="599"/>
    <n v="0.05"/>
    <n v="1609.93"/>
    <x v="4"/>
    <n v="2396"/>
    <n v="119.80000000000001"/>
    <x v="1"/>
    <x v="23"/>
    <n v="0.32806193785346099"/>
  </r>
  <r>
    <x v="24"/>
    <d v="2028-05-08T00:00:00"/>
    <s v="2028"/>
    <x v="1"/>
    <s v="Anitha"/>
    <x v="0"/>
    <x v="1"/>
    <x v="2"/>
    <x v="15"/>
    <n v="7"/>
    <n v="499"/>
    <n v="0.1"/>
    <n v="2892.05"/>
    <x v="4"/>
    <n v="3493"/>
    <n v="349.3"/>
    <x v="23"/>
    <x v="24"/>
    <n v="0.1720203842079647"/>
  </r>
  <r>
    <x v="25"/>
    <d v="2028-05-09T00:00:00"/>
    <s v="2028"/>
    <x v="1"/>
    <s v="Anitha"/>
    <x v="1"/>
    <x v="0"/>
    <x v="3"/>
    <x v="16"/>
    <n v="4"/>
    <n v="999"/>
    <n v="0"/>
    <n v="2892.12"/>
    <x v="0"/>
    <n v="3996"/>
    <n v="0"/>
    <x v="24"/>
    <x v="25"/>
    <n v="0.27624624624624627"/>
  </r>
  <r>
    <x v="26"/>
    <d v="2028-05-10T00:00:00"/>
    <s v="2028"/>
    <x v="1"/>
    <s v="Rahul"/>
    <x v="0"/>
    <x v="5"/>
    <x v="2"/>
    <x v="2"/>
    <n v="3"/>
    <n v="1499"/>
    <n v="0"/>
    <n v="3769.54"/>
    <x v="1"/>
    <n v="4497"/>
    <n v="0"/>
    <x v="25"/>
    <x v="26"/>
    <n v="0.16176562152546142"/>
  </r>
  <r>
    <x v="27"/>
    <d v="2028-05-11T00:00:00"/>
    <s v="2028"/>
    <x v="1"/>
    <s v="Priya"/>
    <x v="0"/>
    <x v="4"/>
    <x v="3"/>
    <x v="8"/>
    <n v="2"/>
    <n v="1199"/>
    <n v="0.2"/>
    <n v="1496.03"/>
    <x v="0"/>
    <n v="2398"/>
    <n v="479.6"/>
    <x v="26"/>
    <x v="27"/>
    <n v="0.37608224205521734"/>
  </r>
  <r>
    <x v="28"/>
    <d v="2028-05-12T00:00:00"/>
    <s v="2028"/>
    <x v="1"/>
    <s v="Suresh"/>
    <x v="0"/>
    <x v="2"/>
    <x v="0"/>
    <x v="17"/>
    <n v="4"/>
    <n v="180"/>
    <n v="0.1"/>
    <n v="447.56"/>
    <x v="4"/>
    <n v="720"/>
    <n v="72"/>
    <x v="27"/>
    <x v="28"/>
    <n v="0.37830254201972496"/>
  </r>
  <r>
    <x v="29"/>
    <d v="2028-05-13T00:00:00"/>
    <s v="2028"/>
    <x v="1"/>
    <s v="Divya"/>
    <x v="1"/>
    <x v="3"/>
    <x v="1"/>
    <x v="1"/>
    <n v="8"/>
    <n v="599"/>
    <n v="0.2"/>
    <n v="4070.98"/>
    <x v="1"/>
    <n v="4792"/>
    <n v="958.40000000000009"/>
    <x v="28"/>
    <x v="29"/>
    <n v="0.1504278141825619"/>
  </r>
  <r>
    <x v="30"/>
    <d v="2028-05-14T00:00:00"/>
    <s v="2028"/>
    <x v="1"/>
    <s v="Meena"/>
    <x v="0"/>
    <x v="3"/>
    <x v="0"/>
    <x v="0"/>
    <n v="6"/>
    <n v="420"/>
    <n v="0"/>
    <n v="2050.73"/>
    <x v="3"/>
    <n v="2520"/>
    <n v="0"/>
    <x v="29"/>
    <x v="30"/>
    <n v="0.18621825396825395"/>
  </r>
  <r>
    <x v="31"/>
    <d v="2028-05-15T00:00:00"/>
    <s v="2028"/>
    <x v="1"/>
    <s v="Kumar"/>
    <x v="1"/>
    <x v="0"/>
    <x v="0"/>
    <x v="10"/>
    <n v="1"/>
    <n v="240"/>
    <n v="0.2"/>
    <n v="153.56"/>
    <x v="1"/>
    <n v="240"/>
    <n v="48"/>
    <x v="30"/>
    <x v="31"/>
    <n v="0.3596330275229358"/>
  </r>
  <r>
    <x v="32"/>
    <d v="2028-05-16T00:00:00"/>
    <s v="2028"/>
    <x v="1"/>
    <s v="Divya"/>
    <x v="0"/>
    <x v="2"/>
    <x v="3"/>
    <x v="16"/>
    <n v="5"/>
    <n v="999"/>
    <n v="0.2"/>
    <n v="3062.88"/>
    <x v="3"/>
    <n v="4995"/>
    <n v="999"/>
    <x v="31"/>
    <x v="32"/>
    <n v="-3061.88"/>
  </r>
  <r>
    <x v="33"/>
    <d v="2028-05-17T00:00:00"/>
    <s v="2028"/>
    <x v="1"/>
    <s v="Divya"/>
    <x v="1"/>
    <x v="5"/>
    <x v="1"/>
    <x v="1"/>
    <n v="7"/>
    <n v="599"/>
    <n v="0.1"/>
    <n v="2361.61"/>
    <x v="3"/>
    <n v="4193"/>
    <n v="419.3"/>
    <x v="32"/>
    <x v="33"/>
    <n v="0"/>
  </r>
  <r>
    <x v="34"/>
    <d v="2028-05-18T00:00:00"/>
    <s v="2028"/>
    <x v="1"/>
    <s v="Divya"/>
    <x v="0"/>
    <x v="2"/>
    <x v="2"/>
    <x v="2"/>
    <n v="7"/>
    <n v="1499"/>
    <n v="0.2"/>
    <n v="5801.59"/>
    <x v="1"/>
    <n v="10493"/>
    <n v="2098.6"/>
    <x v="32"/>
    <x v="34"/>
    <n v="0"/>
  </r>
  <r>
    <x v="35"/>
    <d v="2028-05-19T00:00:00"/>
    <s v="2028"/>
    <x v="1"/>
    <s v="Kumar"/>
    <x v="0"/>
    <x v="5"/>
    <x v="3"/>
    <x v="8"/>
    <n v="3"/>
    <n v="1199"/>
    <n v="0"/>
    <n v="2310.9899999999998"/>
    <x v="1"/>
    <n v="3597"/>
    <n v="0"/>
    <x v="32"/>
    <x v="35"/>
    <n v="0"/>
  </r>
  <r>
    <x v="36"/>
    <d v="2028-05-20T00:00:00"/>
    <s v="2028"/>
    <x v="1"/>
    <s v="Shahina"/>
    <x v="0"/>
    <x v="0"/>
    <x v="1"/>
    <x v="6"/>
    <n v="7"/>
    <n v="1499"/>
    <n v="0.2"/>
    <n v="8130.43"/>
    <x v="2"/>
    <n v="10493"/>
    <n v="2098.6"/>
    <x v="32"/>
    <x v="36"/>
    <n v="0"/>
  </r>
  <r>
    <x v="37"/>
    <d v="2028-05-21T00:00:00"/>
    <s v="2028"/>
    <x v="1"/>
    <s v="Kumar"/>
    <x v="1"/>
    <x v="1"/>
    <x v="3"/>
    <x v="16"/>
    <n v="7"/>
    <n v="999"/>
    <n v="0.05"/>
    <n v="4405.88"/>
    <x v="1"/>
    <n v="6993"/>
    <n v="349.65000000000003"/>
    <x v="32"/>
    <x v="37"/>
    <n v="0"/>
  </r>
  <r>
    <x v="38"/>
    <d v="2028-05-22T00:00:00"/>
    <s v="2028"/>
    <x v="1"/>
    <s v="Arun"/>
    <x v="1"/>
    <x v="4"/>
    <x v="3"/>
    <x v="8"/>
    <n v="6"/>
    <n v="1199"/>
    <n v="0.1"/>
    <n v="5727.58"/>
    <x v="2"/>
    <n v="7194"/>
    <n v="719.40000000000009"/>
    <x v="32"/>
    <x v="38"/>
    <n v="0"/>
  </r>
  <r>
    <x v="39"/>
    <d v="2028-05-23T00:00:00"/>
    <s v="2028"/>
    <x v="1"/>
    <s v="Arun"/>
    <x v="0"/>
    <x v="0"/>
    <x v="0"/>
    <x v="17"/>
    <n v="2"/>
    <n v="180"/>
    <n v="0.1"/>
    <n v="235.92"/>
    <x v="0"/>
    <n v="360"/>
    <n v="36"/>
    <x v="32"/>
    <x v="39"/>
    <n v="0"/>
  </r>
  <r>
    <x v="40"/>
    <d v="2028-05-24T00:00:00"/>
    <s v="2028"/>
    <x v="1"/>
    <s v="Meena"/>
    <x v="1"/>
    <x v="2"/>
    <x v="1"/>
    <x v="6"/>
    <n v="3"/>
    <n v="1499"/>
    <n v="0.2"/>
    <n v="3771.91"/>
    <x v="3"/>
    <n v="4497"/>
    <n v="899.40000000000009"/>
    <x v="32"/>
    <x v="40"/>
    <n v="0"/>
  </r>
  <r>
    <x v="41"/>
    <d v="2028-05-25T00:00:00"/>
    <s v="2028"/>
    <x v="1"/>
    <s v="Priya"/>
    <x v="1"/>
    <x v="0"/>
    <x v="0"/>
    <x v="12"/>
    <n v="2"/>
    <n v="55"/>
    <n v="0.15"/>
    <n v="90.18"/>
    <x v="2"/>
    <n v="110"/>
    <n v="16.5"/>
    <x v="32"/>
    <x v="41"/>
    <n v="0"/>
  </r>
  <r>
    <x v="42"/>
    <d v="2028-05-26T00:00:00"/>
    <s v="2028"/>
    <x v="1"/>
    <s v="Arun"/>
    <x v="1"/>
    <x v="5"/>
    <x v="3"/>
    <x v="16"/>
    <n v="7"/>
    <n v="999"/>
    <n v="0"/>
    <n v="5836.79"/>
    <x v="3"/>
    <n v="6993"/>
    <n v="0"/>
    <x v="32"/>
    <x v="42"/>
    <n v="0"/>
  </r>
  <r>
    <x v="43"/>
    <d v="2028-05-27T00:00:00"/>
    <s v="2028"/>
    <x v="1"/>
    <s v="Rahul"/>
    <x v="0"/>
    <x v="4"/>
    <x v="0"/>
    <x v="10"/>
    <n v="5"/>
    <n v="240"/>
    <n v="0.15"/>
    <n v="777.43"/>
    <x v="3"/>
    <n v="1200"/>
    <n v="180"/>
    <x v="32"/>
    <x v="43"/>
    <n v="0"/>
  </r>
  <r>
    <x v="44"/>
    <d v="2028-05-28T00:00:00"/>
    <s v="2028"/>
    <x v="1"/>
    <s v="Kumar"/>
    <x v="0"/>
    <x v="4"/>
    <x v="2"/>
    <x v="7"/>
    <n v="5"/>
    <n v="1299"/>
    <n v="0.15"/>
    <n v="4639.91"/>
    <x v="1"/>
    <n v="6495"/>
    <n v="974.25"/>
    <x v="32"/>
    <x v="44"/>
    <n v="0"/>
  </r>
  <r>
    <x v="45"/>
    <d v="2028-05-29T00:00:00"/>
    <s v="2028"/>
    <x v="1"/>
    <s v="Divya"/>
    <x v="0"/>
    <x v="2"/>
    <x v="0"/>
    <x v="12"/>
    <n v="8"/>
    <n v="55"/>
    <n v="0.15"/>
    <n v="331.18"/>
    <x v="0"/>
    <n v="440"/>
    <n v="66"/>
    <x v="32"/>
    <x v="45"/>
    <n v="0"/>
  </r>
  <r>
    <x v="46"/>
    <d v="2028-05-30T00:00:00"/>
    <s v="2028"/>
    <x v="1"/>
    <s v="Kumar"/>
    <x v="0"/>
    <x v="1"/>
    <x v="0"/>
    <x v="13"/>
    <n v="4"/>
    <n v="650"/>
    <n v="0.1"/>
    <n v="1605.22"/>
    <x v="2"/>
    <n v="2600"/>
    <n v="260"/>
    <x v="32"/>
    <x v="46"/>
    <n v="0"/>
  </r>
  <r>
    <x v="47"/>
    <d v="2028-05-31T00:00:00"/>
    <s v="2028"/>
    <x v="1"/>
    <s v="Arun"/>
    <x v="0"/>
    <x v="4"/>
    <x v="2"/>
    <x v="2"/>
    <n v="2"/>
    <n v="1499"/>
    <n v="0.15"/>
    <n v="2021.65"/>
    <x v="0"/>
    <n v="2998"/>
    <n v="449.7"/>
    <x v="32"/>
    <x v="47"/>
    <n v="0"/>
  </r>
  <r>
    <x v="48"/>
    <d v="2028-06-01T00:00:00"/>
    <s v="2028"/>
    <x v="2"/>
    <s v="Anitha"/>
    <x v="1"/>
    <x v="0"/>
    <x v="3"/>
    <x v="3"/>
    <n v="1"/>
    <n v="1599"/>
    <n v="0"/>
    <n v="1252.8599999999999"/>
    <x v="2"/>
    <n v="1599"/>
    <n v="0"/>
    <x v="32"/>
    <x v="48"/>
    <n v="0"/>
  </r>
  <r>
    <x v="49"/>
    <d v="2028-06-02T00:00:00"/>
    <s v="2028"/>
    <x v="2"/>
    <s v="Meena"/>
    <x v="1"/>
    <x v="4"/>
    <x v="3"/>
    <x v="4"/>
    <n v="8"/>
    <n v="799"/>
    <n v="0.05"/>
    <n v="5052.3999999999996"/>
    <x v="0"/>
    <n v="6392"/>
    <n v="319.60000000000002"/>
    <x v="32"/>
    <x v="49"/>
    <n v="0"/>
  </r>
  <r>
    <x v="50"/>
    <d v="2028-06-03T00:00:00"/>
    <s v="2028"/>
    <x v="2"/>
    <s v="Suresh"/>
    <x v="1"/>
    <x v="5"/>
    <x v="2"/>
    <x v="2"/>
    <n v="8"/>
    <n v="1499"/>
    <n v="0.05"/>
    <n v="9270.9699999999993"/>
    <x v="4"/>
    <n v="11992"/>
    <n v="599.6"/>
    <x v="32"/>
    <x v="50"/>
    <n v="0"/>
  </r>
  <r>
    <x v="51"/>
    <d v="2028-06-04T00:00:00"/>
    <s v="2028"/>
    <x v="2"/>
    <s v="Divya"/>
    <x v="0"/>
    <x v="2"/>
    <x v="0"/>
    <x v="10"/>
    <n v="8"/>
    <n v="240"/>
    <n v="0.05"/>
    <n v="1214.17"/>
    <x v="1"/>
    <n v="1920"/>
    <n v="96"/>
    <x v="32"/>
    <x v="51"/>
    <n v="0"/>
  </r>
  <r>
    <x v="52"/>
    <d v="2028-06-05T00:00:00"/>
    <s v="2028"/>
    <x v="2"/>
    <s v="Shahina"/>
    <x v="1"/>
    <x v="0"/>
    <x v="0"/>
    <x v="10"/>
    <n v="2"/>
    <n v="240"/>
    <n v="0.05"/>
    <n v="285.72000000000003"/>
    <x v="4"/>
    <n v="480"/>
    <n v="24"/>
    <x v="32"/>
    <x v="52"/>
    <n v="0"/>
  </r>
  <r>
    <x v="53"/>
    <d v="2028-06-06T00:00:00"/>
    <s v="2028"/>
    <x v="2"/>
    <s v="Kumar"/>
    <x v="0"/>
    <x v="3"/>
    <x v="2"/>
    <x v="14"/>
    <n v="6"/>
    <n v="899"/>
    <n v="0.2"/>
    <n v="3720.66"/>
    <x v="1"/>
    <n v="5394"/>
    <n v="1078.8"/>
    <x v="32"/>
    <x v="53"/>
    <n v="0"/>
  </r>
  <r>
    <x v="54"/>
    <d v="2028-06-07T00:00:00"/>
    <s v="2028"/>
    <x v="2"/>
    <s v="Anitha"/>
    <x v="1"/>
    <x v="3"/>
    <x v="1"/>
    <x v="9"/>
    <n v="7"/>
    <n v="1299"/>
    <n v="0.15"/>
    <n v="5017.2299999999996"/>
    <x v="3"/>
    <n v="9093"/>
    <n v="1363.95"/>
    <x v="32"/>
    <x v="54"/>
    <n v="0"/>
  </r>
  <r>
    <x v="55"/>
    <d v="2028-06-08T00:00:00"/>
    <s v="2028"/>
    <x v="2"/>
    <s v="Anitha"/>
    <x v="1"/>
    <x v="5"/>
    <x v="3"/>
    <x v="8"/>
    <n v="4"/>
    <n v="1199"/>
    <n v="0.1"/>
    <n v="3264.88"/>
    <x v="1"/>
    <n v="4796"/>
    <n v="479.6"/>
    <x v="32"/>
    <x v="55"/>
    <n v="0"/>
  </r>
  <r>
    <x v="56"/>
    <d v="2028-06-09T00:00:00"/>
    <s v="2028"/>
    <x v="2"/>
    <s v="Unknown"/>
    <x v="1"/>
    <x v="0"/>
    <x v="3"/>
    <x v="8"/>
    <n v="3"/>
    <n v="1199"/>
    <n v="0.2"/>
    <n v="2554.7199999999998"/>
    <x v="4"/>
    <n v="3597"/>
    <n v="719.40000000000009"/>
    <x v="32"/>
    <x v="56"/>
    <n v="0"/>
  </r>
  <r>
    <x v="57"/>
    <d v="2028-06-10T00:00:00"/>
    <s v="2028"/>
    <x v="2"/>
    <s v="Suresh"/>
    <x v="0"/>
    <x v="2"/>
    <x v="2"/>
    <x v="7"/>
    <n v="8"/>
    <n v="1299"/>
    <n v="0.05"/>
    <n v="5872.37"/>
    <x v="4"/>
    <n v="10392"/>
    <n v="519.6"/>
    <x v="32"/>
    <x v="57"/>
    <n v="0"/>
  </r>
  <r>
    <x v="58"/>
    <d v="2028-06-11T00:00:00"/>
    <s v="2028"/>
    <x v="2"/>
    <s v="Shahina"/>
    <x v="1"/>
    <x v="2"/>
    <x v="0"/>
    <x v="12"/>
    <n v="5"/>
    <n v="55"/>
    <n v="0.15"/>
    <n v="172.06"/>
    <x v="1"/>
    <n v="275"/>
    <n v="41.25"/>
    <x v="32"/>
    <x v="58"/>
    <n v="0"/>
  </r>
  <r>
    <x v="59"/>
    <d v="2028-06-12T00:00:00"/>
    <s v="2028"/>
    <x v="2"/>
    <s v="Arun"/>
    <x v="0"/>
    <x v="1"/>
    <x v="3"/>
    <x v="4"/>
    <n v="1"/>
    <n v="799"/>
    <n v="0"/>
    <n v="667.07"/>
    <x v="2"/>
    <n v="799"/>
    <n v="0"/>
    <x v="32"/>
    <x v="59"/>
    <n v="0"/>
  </r>
  <r>
    <x v="60"/>
    <d v="2028-06-13T00:00:00"/>
    <s v="2028"/>
    <x v="2"/>
    <s v="Suresh"/>
    <x v="0"/>
    <x v="1"/>
    <x v="3"/>
    <x v="8"/>
    <n v="2"/>
    <n v="1199"/>
    <n v="0.2"/>
    <n v="2000.72"/>
    <x v="4"/>
    <n v="2398"/>
    <n v="479.6"/>
    <x v="32"/>
    <x v="60"/>
    <n v="0"/>
  </r>
  <r>
    <x v="61"/>
    <d v="2028-06-14T00:00:00"/>
    <s v="2028"/>
    <x v="2"/>
    <s v="Divya"/>
    <x v="1"/>
    <x v="5"/>
    <x v="1"/>
    <x v="11"/>
    <n v="5"/>
    <n v="899"/>
    <n v="0"/>
    <n v="3252.61"/>
    <x v="3"/>
    <n v="4495"/>
    <n v="0"/>
    <x v="32"/>
    <x v="61"/>
    <n v="0"/>
  </r>
  <r>
    <x v="62"/>
    <d v="2028-06-15T00:00:00"/>
    <s v="2028"/>
    <x v="2"/>
    <s v="Anitha"/>
    <x v="1"/>
    <x v="3"/>
    <x v="3"/>
    <x v="4"/>
    <n v="4"/>
    <n v="799"/>
    <n v="0"/>
    <n v="2426.27"/>
    <x v="3"/>
    <n v="3196"/>
    <n v="0"/>
    <x v="32"/>
    <x v="62"/>
    <n v="0"/>
  </r>
  <r>
    <x v="63"/>
    <d v="2028-06-16T00:00:00"/>
    <s v="2028"/>
    <x v="2"/>
    <s v="Suresh"/>
    <x v="0"/>
    <x v="0"/>
    <x v="1"/>
    <x v="6"/>
    <n v="7"/>
    <n v="1499"/>
    <n v="0.1"/>
    <n v="5988.22"/>
    <x v="3"/>
    <n v="10493"/>
    <n v="1049.3"/>
    <x v="32"/>
    <x v="63"/>
    <n v="0"/>
  </r>
  <r>
    <x v="64"/>
    <d v="2028-06-17T00:00:00"/>
    <s v="2028"/>
    <x v="2"/>
    <s v="Anitha"/>
    <x v="1"/>
    <x v="4"/>
    <x v="2"/>
    <x v="5"/>
    <n v="8"/>
    <n v="699"/>
    <n v="0.05"/>
    <n v="3806.17"/>
    <x v="0"/>
    <n v="5592"/>
    <n v="279.60000000000002"/>
    <x v="32"/>
    <x v="64"/>
    <n v="0"/>
  </r>
  <r>
    <x v="65"/>
    <d v="2028-06-18T00:00:00"/>
    <s v="2028"/>
    <x v="2"/>
    <s v="Divya"/>
    <x v="1"/>
    <x v="4"/>
    <x v="2"/>
    <x v="2"/>
    <n v="5"/>
    <n v="1499"/>
    <n v="0.1"/>
    <n v="6037.33"/>
    <x v="1"/>
    <n v="7495"/>
    <n v="749.5"/>
    <x v="32"/>
    <x v="65"/>
    <n v="0"/>
  </r>
  <r>
    <x v="66"/>
    <d v="2028-06-19T00:00:00"/>
    <s v="2028"/>
    <x v="2"/>
    <s v="Vijay"/>
    <x v="0"/>
    <x v="2"/>
    <x v="2"/>
    <x v="5"/>
    <n v="1"/>
    <n v="699"/>
    <n v="0.15"/>
    <n v="562.89"/>
    <x v="2"/>
    <n v="699"/>
    <n v="104.85"/>
    <x v="32"/>
    <x v="66"/>
    <n v="0"/>
  </r>
  <r>
    <x v="67"/>
    <d v="2028-06-20T00:00:00"/>
    <s v="2028"/>
    <x v="2"/>
    <s v="Shahina"/>
    <x v="1"/>
    <x v="4"/>
    <x v="0"/>
    <x v="17"/>
    <n v="5"/>
    <n v="180"/>
    <n v="0.2"/>
    <n v="497.74"/>
    <x v="2"/>
    <n v="900"/>
    <n v="180"/>
    <x v="32"/>
    <x v="67"/>
    <n v="0"/>
  </r>
  <r>
    <x v="68"/>
    <d v="2028-06-21T00:00:00"/>
    <s v="2028"/>
    <x v="2"/>
    <s v="Shahina"/>
    <x v="1"/>
    <x v="5"/>
    <x v="3"/>
    <x v="8"/>
    <n v="8"/>
    <n v="1199"/>
    <n v="0.15"/>
    <n v="7557.34"/>
    <x v="1"/>
    <n v="9592"/>
    <n v="1438.8"/>
    <x v="32"/>
    <x v="68"/>
    <n v="0"/>
  </r>
  <r>
    <x v="69"/>
    <d v="2028-06-22T00:00:00"/>
    <s v="2028"/>
    <x v="2"/>
    <s v="Shahina"/>
    <x v="1"/>
    <x v="2"/>
    <x v="3"/>
    <x v="16"/>
    <n v="6"/>
    <n v="999"/>
    <n v="0.15"/>
    <n v="4291.96"/>
    <x v="3"/>
    <n v="5994"/>
    <n v="899.1"/>
    <x v="32"/>
    <x v="69"/>
    <n v="0"/>
  </r>
  <r>
    <x v="70"/>
    <d v="2028-06-23T00:00:00"/>
    <s v="2028"/>
    <x v="2"/>
    <s v="Meena"/>
    <x v="1"/>
    <x v="1"/>
    <x v="2"/>
    <x v="5"/>
    <n v="5"/>
    <n v="699"/>
    <n v="0.1"/>
    <n v="2163.9699999999998"/>
    <x v="2"/>
    <n v="3495"/>
    <n v="349.5"/>
    <x v="32"/>
    <x v="70"/>
    <n v="0"/>
  </r>
  <r>
    <x v="71"/>
    <d v="2028-06-24T00:00:00"/>
    <s v="2028"/>
    <x v="2"/>
    <s v="Priya"/>
    <x v="0"/>
    <x v="1"/>
    <x v="3"/>
    <x v="8"/>
    <n v="5"/>
    <n v="1199"/>
    <n v="0.2"/>
    <n v="5053.68"/>
    <x v="0"/>
    <n v="5995"/>
    <n v="1199"/>
    <x v="32"/>
    <x v="71"/>
    <n v="0"/>
  </r>
  <r>
    <x v="72"/>
    <d v="2028-06-25T00:00:00"/>
    <s v="2028"/>
    <x v="2"/>
    <s v="Divya"/>
    <x v="0"/>
    <x v="1"/>
    <x v="0"/>
    <x v="0"/>
    <n v="6"/>
    <n v="420"/>
    <n v="0.05"/>
    <n v="1614.51"/>
    <x v="0"/>
    <n v="2520"/>
    <n v="126"/>
    <x v="32"/>
    <x v="72"/>
    <n v="0"/>
  </r>
  <r>
    <x v="73"/>
    <d v="2028-06-26T00:00:00"/>
    <s v="2028"/>
    <x v="2"/>
    <s v="Divya"/>
    <x v="0"/>
    <x v="6"/>
    <x v="0"/>
    <x v="0"/>
    <n v="8"/>
    <n v="420"/>
    <n v="0"/>
    <n v="2727.7"/>
    <x v="0"/>
    <n v="3360"/>
    <n v="0"/>
    <x v="32"/>
    <x v="73"/>
    <n v="0"/>
  </r>
  <r>
    <x v="74"/>
    <d v="2028-06-27T00:00:00"/>
    <s v="2028"/>
    <x v="2"/>
    <s v="Vijay"/>
    <x v="1"/>
    <x v="4"/>
    <x v="0"/>
    <x v="0"/>
    <n v="1"/>
    <n v="420"/>
    <n v="0.1"/>
    <n v="349.57"/>
    <x v="4"/>
    <n v="420"/>
    <n v="42"/>
    <x v="32"/>
    <x v="74"/>
    <n v="0"/>
  </r>
  <r>
    <x v="75"/>
    <d v="2028-06-28T00:00:00"/>
    <s v="2028"/>
    <x v="2"/>
    <s v="Priya"/>
    <x v="1"/>
    <x v="4"/>
    <x v="1"/>
    <x v="9"/>
    <n v="1"/>
    <n v="1299"/>
    <n v="0.05"/>
    <n v="772.59"/>
    <x v="0"/>
    <n v="1299"/>
    <n v="64.95"/>
    <x v="32"/>
    <x v="75"/>
    <n v="0"/>
  </r>
  <r>
    <x v="76"/>
    <d v="2028-06-29T00:00:00"/>
    <s v="2028"/>
    <x v="2"/>
    <s v="Priya"/>
    <x v="0"/>
    <x v="0"/>
    <x v="2"/>
    <x v="2"/>
    <n v="4"/>
    <n v="1499"/>
    <n v="0.2"/>
    <n v="3982.02"/>
    <x v="4"/>
    <n v="5996"/>
    <n v="1199.2"/>
    <x v="32"/>
    <x v="76"/>
    <n v="0"/>
  </r>
  <r>
    <x v="77"/>
    <d v="2028-06-30T00:00:00"/>
    <s v="2028"/>
    <x v="2"/>
    <s v="Suresh"/>
    <x v="1"/>
    <x v="2"/>
    <x v="1"/>
    <x v="9"/>
    <n v="2"/>
    <n v="1299"/>
    <n v="0.05"/>
    <n v="1916.43"/>
    <x v="3"/>
    <n v="2598"/>
    <n v="129.9"/>
    <x v="32"/>
    <x v="77"/>
    <n v="0"/>
  </r>
  <r>
    <x v="78"/>
    <d v="2028-07-01T00:00:00"/>
    <s v="2028"/>
    <x v="3"/>
    <s v="Priya"/>
    <x v="0"/>
    <x v="1"/>
    <x v="3"/>
    <x v="18"/>
    <n v="2"/>
    <n v="1999"/>
    <n v="0.05"/>
    <n v="2202.11"/>
    <x v="4"/>
    <n v="3998"/>
    <n v="199.9"/>
    <x v="32"/>
    <x v="78"/>
    <n v="0"/>
  </r>
  <r>
    <x v="79"/>
    <d v="2028-07-02T00:00:00"/>
    <s v="2028"/>
    <x v="3"/>
    <s v="Suresh"/>
    <x v="1"/>
    <x v="2"/>
    <x v="1"/>
    <x v="11"/>
    <n v="5"/>
    <n v="899"/>
    <n v="0.1"/>
    <n v="3420.23"/>
    <x v="4"/>
    <n v="4495"/>
    <n v="449.5"/>
    <x v="32"/>
    <x v="79"/>
    <n v="0"/>
  </r>
  <r>
    <x v="80"/>
    <d v="2028-07-03T00:00:00"/>
    <s v="2028"/>
    <x v="3"/>
    <s v="Shahina"/>
    <x v="1"/>
    <x v="5"/>
    <x v="3"/>
    <x v="8"/>
    <n v="2"/>
    <n v="1199"/>
    <n v="0.2"/>
    <n v="1480.63"/>
    <x v="2"/>
    <n v="2398"/>
    <n v="479.6"/>
    <x v="32"/>
    <x v="80"/>
    <n v="0"/>
  </r>
  <r>
    <x v="81"/>
    <d v="2028-07-04T00:00:00"/>
    <s v="2028"/>
    <x v="3"/>
    <s v="Kumar"/>
    <x v="0"/>
    <x v="0"/>
    <x v="3"/>
    <x v="16"/>
    <n v="5"/>
    <n v="999"/>
    <n v="0.15"/>
    <n v="2933.59"/>
    <x v="3"/>
    <n v="4995"/>
    <n v="749.25"/>
    <x v="32"/>
    <x v="81"/>
    <n v="0"/>
  </r>
  <r>
    <x v="82"/>
    <d v="2028-07-05T00:00:00"/>
    <s v="2028"/>
    <x v="3"/>
    <s v="Anitha"/>
    <x v="1"/>
    <x v="3"/>
    <x v="2"/>
    <x v="14"/>
    <n v="2"/>
    <n v="899"/>
    <n v="0.2"/>
    <n v="1010.4"/>
    <x v="4"/>
    <n v="1798"/>
    <n v="359.6"/>
    <x v="32"/>
    <x v="82"/>
    <n v="0"/>
  </r>
  <r>
    <x v="83"/>
    <d v="2028-07-06T00:00:00"/>
    <s v="2028"/>
    <x v="3"/>
    <s v="Suresh"/>
    <x v="1"/>
    <x v="0"/>
    <x v="1"/>
    <x v="11"/>
    <n v="1"/>
    <n v="899"/>
    <n v="0.1"/>
    <n v="649.86"/>
    <x v="2"/>
    <n v="899"/>
    <n v="89.9"/>
    <x v="32"/>
    <x v="83"/>
    <n v="0"/>
  </r>
  <r>
    <x v="84"/>
    <d v="2028-07-07T00:00:00"/>
    <s v="2028"/>
    <x v="3"/>
    <s v="Meena"/>
    <x v="1"/>
    <x v="2"/>
    <x v="3"/>
    <x v="18"/>
    <n v="7"/>
    <n v="1999"/>
    <n v="0.15"/>
    <n v="11764.15"/>
    <x v="4"/>
    <n v="13993"/>
    <n v="2098.9499999999998"/>
    <x v="32"/>
    <x v="84"/>
    <n v="0"/>
  </r>
  <r>
    <x v="85"/>
    <d v="2028-07-08T00:00:00"/>
    <s v="2028"/>
    <x v="3"/>
    <s v="Anitha"/>
    <x v="1"/>
    <x v="2"/>
    <x v="1"/>
    <x v="11"/>
    <n v="6"/>
    <n v="899"/>
    <n v="0.15"/>
    <n v="4089.2"/>
    <x v="3"/>
    <n v="5394"/>
    <n v="809.1"/>
    <x v="32"/>
    <x v="85"/>
    <n v="0"/>
  </r>
  <r>
    <x v="86"/>
    <d v="2028-07-09T00:00:00"/>
    <s v="2028"/>
    <x v="3"/>
    <s v="Anitha"/>
    <x v="0"/>
    <x v="4"/>
    <x v="1"/>
    <x v="6"/>
    <n v="5"/>
    <n v="1499"/>
    <n v="0.1"/>
    <n v="4382.8999999999996"/>
    <x v="4"/>
    <n v="7495"/>
    <n v="749.5"/>
    <x v="32"/>
    <x v="86"/>
    <n v="0"/>
  </r>
  <r>
    <x v="87"/>
    <d v="2028-07-10T00:00:00"/>
    <s v="2028"/>
    <x v="3"/>
    <s v="Arun"/>
    <x v="1"/>
    <x v="4"/>
    <x v="1"/>
    <x v="11"/>
    <n v="6"/>
    <n v="899"/>
    <n v="0.2"/>
    <n v="4190.78"/>
    <x v="4"/>
    <n v="5394"/>
    <n v="1078.8"/>
    <x v="32"/>
    <x v="87"/>
    <n v="0"/>
  </r>
  <r>
    <x v="88"/>
    <d v="2028-07-11T00:00:00"/>
    <s v="2028"/>
    <x v="3"/>
    <s v="Shahina"/>
    <x v="1"/>
    <x v="3"/>
    <x v="3"/>
    <x v="16"/>
    <n v="8"/>
    <n v="999"/>
    <n v="0.15"/>
    <n v="4686.7299999999996"/>
    <x v="0"/>
    <n v="7992"/>
    <n v="1198.8"/>
    <x v="32"/>
    <x v="88"/>
    <n v="0"/>
  </r>
  <r>
    <x v="89"/>
    <d v="2028-07-12T00:00:00"/>
    <s v="2028"/>
    <x v="3"/>
    <s v="Kumar"/>
    <x v="1"/>
    <x v="3"/>
    <x v="1"/>
    <x v="9"/>
    <n v="7"/>
    <n v="1299"/>
    <n v="0"/>
    <n v="5614.11"/>
    <x v="1"/>
    <n v="9093"/>
    <n v="0"/>
    <x v="32"/>
    <x v="89"/>
    <n v="0"/>
  </r>
  <r>
    <x v="90"/>
    <d v="2028-07-13T00:00:00"/>
    <s v="2028"/>
    <x v="3"/>
    <s v="Priya"/>
    <x v="0"/>
    <x v="4"/>
    <x v="0"/>
    <x v="10"/>
    <n v="5"/>
    <n v="240"/>
    <n v="0.15"/>
    <n v="960.5"/>
    <x v="4"/>
    <n v="1200"/>
    <n v="180"/>
    <x v="32"/>
    <x v="90"/>
    <n v="0"/>
  </r>
  <r>
    <x v="91"/>
    <d v="2028-07-14T00:00:00"/>
    <s v="2028"/>
    <x v="3"/>
    <s v="Vijay"/>
    <x v="0"/>
    <x v="4"/>
    <x v="3"/>
    <x v="18"/>
    <n v="3"/>
    <n v="1999"/>
    <n v="0"/>
    <n v="3795.35"/>
    <x v="4"/>
    <n v="5997"/>
    <n v="0"/>
    <x v="32"/>
    <x v="91"/>
    <n v="0"/>
  </r>
  <r>
    <x v="92"/>
    <d v="2028-07-15T00:00:00"/>
    <s v="2028"/>
    <x v="3"/>
    <s v="Meena"/>
    <x v="1"/>
    <x v="0"/>
    <x v="0"/>
    <x v="17"/>
    <n v="8"/>
    <n v="180"/>
    <n v="0.05"/>
    <n v="984.91"/>
    <x v="4"/>
    <n v="1440"/>
    <n v="72"/>
    <x v="32"/>
    <x v="92"/>
    <n v="0"/>
  </r>
  <r>
    <x v="93"/>
    <d v="2028-07-16T00:00:00"/>
    <s v="2028"/>
    <x v="3"/>
    <s v="Rahul"/>
    <x v="1"/>
    <x v="4"/>
    <x v="0"/>
    <x v="0"/>
    <n v="4"/>
    <n v="420"/>
    <n v="0.2"/>
    <n v="1117.02"/>
    <x v="4"/>
    <n v="1680"/>
    <n v="336"/>
    <x v="32"/>
    <x v="93"/>
    <n v="0"/>
  </r>
  <r>
    <x v="94"/>
    <d v="2028-07-17T00:00:00"/>
    <s v="2028"/>
    <x v="3"/>
    <s v="Rahul"/>
    <x v="1"/>
    <x v="5"/>
    <x v="2"/>
    <x v="14"/>
    <n v="3"/>
    <n v="899"/>
    <n v="0.15"/>
    <n v="2263.9899999999998"/>
    <x v="2"/>
    <n v="2697"/>
    <n v="404.55"/>
    <x v="32"/>
    <x v="94"/>
    <n v="0"/>
  </r>
  <r>
    <x v="95"/>
    <d v="2028-07-18T00:00:00"/>
    <s v="2028"/>
    <x v="3"/>
    <s v="Suresh"/>
    <x v="1"/>
    <x v="0"/>
    <x v="2"/>
    <x v="15"/>
    <n v="8"/>
    <n v="499"/>
    <n v="0"/>
    <n v="3060.8"/>
    <x v="4"/>
    <n v="3992"/>
    <n v="0"/>
    <x v="32"/>
    <x v="95"/>
    <n v="0"/>
  </r>
  <r>
    <x v="96"/>
    <d v="2028-07-19T00:00:00"/>
    <s v="2028"/>
    <x v="3"/>
    <s v="Kumar"/>
    <x v="0"/>
    <x v="4"/>
    <x v="0"/>
    <x v="17"/>
    <n v="7"/>
    <n v="180"/>
    <n v="0"/>
    <n v="1014.97"/>
    <x v="0"/>
    <n v="1260"/>
    <n v="0"/>
    <x v="32"/>
    <x v="96"/>
    <n v="0"/>
  </r>
  <r>
    <x v="97"/>
    <d v="2028-07-20T00:00:00"/>
    <s v="2028"/>
    <x v="3"/>
    <s v="Rahul"/>
    <x v="1"/>
    <x v="3"/>
    <x v="1"/>
    <x v="9"/>
    <n v="2"/>
    <n v="1299"/>
    <n v="0.05"/>
    <n v="1920.83"/>
    <x v="3"/>
    <n v="2598"/>
    <n v="129.9"/>
    <x v="32"/>
    <x v="97"/>
    <n v="0"/>
  </r>
  <r>
    <x v="98"/>
    <d v="2028-07-21T00:00:00"/>
    <s v="2028"/>
    <x v="3"/>
    <s v="Priya"/>
    <x v="1"/>
    <x v="0"/>
    <x v="1"/>
    <x v="19"/>
    <n v="3"/>
    <n v="299"/>
    <n v="0.1"/>
    <n v="736.46"/>
    <x v="1"/>
    <n v="897"/>
    <n v="89.7"/>
    <x v="32"/>
    <x v="98"/>
    <n v="0"/>
  </r>
  <r>
    <x v="99"/>
    <d v="2028-07-22T00:00:00"/>
    <s v="2028"/>
    <x v="3"/>
    <s v="Arun"/>
    <x v="1"/>
    <x v="2"/>
    <x v="0"/>
    <x v="12"/>
    <n v="3"/>
    <n v="55"/>
    <n v="0.05"/>
    <n v="117.04"/>
    <x v="0"/>
    <n v="165"/>
    <n v="8.25"/>
    <x v="32"/>
    <x v="99"/>
    <n v="0"/>
  </r>
  <r>
    <x v="100"/>
    <d v="2028-07-23T00:00:00"/>
    <s v="2028"/>
    <x v="3"/>
    <s v="Kumar"/>
    <x v="0"/>
    <x v="1"/>
    <x v="1"/>
    <x v="9"/>
    <n v="7"/>
    <n v="1299"/>
    <n v="0.2"/>
    <n v="6864.67"/>
    <x v="4"/>
    <n v="9093"/>
    <n v="1818.6000000000001"/>
    <x v="32"/>
    <x v="100"/>
    <n v="0"/>
  </r>
  <r>
    <x v="101"/>
    <d v="2028-07-24T00:00:00"/>
    <s v="2028"/>
    <x v="3"/>
    <s v="Kumar"/>
    <x v="0"/>
    <x v="4"/>
    <x v="0"/>
    <x v="12"/>
    <n v="5"/>
    <n v="55"/>
    <n v="0"/>
    <n v="225.41"/>
    <x v="4"/>
    <n v="275"/>
    <n v="0"/>
    <x v="32"/>
    <x v="101"/>
    <n v="0"/>
  </r>
  <r>
    <x v="102"/>
    <d v="2028-07-25T00:00:00"/>
    <s v="2028"/>
    <x v="3"/>
    <s v="Meena"/>
    <x v="0"/>
    <x v="0"/>
    <x v="2"/>
    <x v="5"/>
    <n v="5"/>
    <n v="699"/>
    <n v="0.15"/>
    <n v="2646.04"/>
    <x v="4"/>
    <n v="3495"/>
    <n v="524.25"/>
    <x v="32"/>
    <x v="102"/>
    <n v="0"/>
  </r>
  <r>
    <x v="103"/>
    <d v="2028-07-26T00:00:00"/>
    <s v="2028"/>
    <x v="3"/>
    <s v="Shahina"/>
    <x v="1"/>
    <x v="4"/>
    <x v="1"/>
    <x v="11"/>
    <n v="7"/>
    <n v="899"/>
    <n v="0.2"/>
    <n v="4138.83"/>
    <x v="3"/>
    <n v="6293"/>
    <n v="1258.6000000000001"/>
    <x v="32"/>
    <x v="103"/>
    <n v="0"/>
  </r>
  <r>
    <x v="104"/>
    <d v="2028-07-27T00:00:00"/>
    <s v="2028"/>
    <x v="3"/>
    <s v="Divya"/>
    <x v="0"/>
    <x v="5"/>
    <x v="2"/>
    <x v="5"/>
    <n v="1"/>
    <n v="699"/>
    <n v="0.2"/>
    <n v="565.85"/>
    <x v="1"/>
    <n v="699"/>
    <n v="139.80000000000001"/>
    <x v="32"/>
    <x v="104"/>
    <n v="0"/>
  </r>
  <r>
    <x v="105"/>
    <d v="2028-07-28T00:00:00"/>
    <s v="2028"/>
    <x v="3"/>
    <s v="Vijay"/>
    <x v="1"/>
    <x v="1"/>
    <x v="0"/>
    <x v="0"/>
    <n v="4"/>
    <n v="420"/>
    <n v="0.2"/>
    <n v="1050.32"/>
    <x v="2"/>
    <n v="1680"/>
    <n v="336"/>
    <x v="32"/>
    <x v="105"/>
    <n v="0"/>
  </r>
  <r>
    <x v="106"/>
    <d v="2028-07-29T00:00:00"/>
    <s v="2028"/>
    <x v="3"/>
    <s v="Priya"/>
    <x v="0"/>
    <x v="2"/>
    <x v="2"/>
    <x v="15"/>
    <n v="6"/>
    <n v="499"/>
    <n v="0.05"/>
    <n v="1727.66"/>
    <x v="3"/>
    <n v="2994"/>
    <n v="149.70000000000002"/>
    <x v="32"/>
    <x v="106"/>
    <n v="0"/>
  </r>
  <r>
    <x v="107"/>
    <d v="2028-07-30T00:00:00"/>
    <s v="2028"/>
    <x v="3"/>
    <s v="Anitha"/>
    <x v="0"/>
    <x v="1"/>
    <x v="3"/>
    <x v="18"/>
    <n v="6"/>
    <n v="1999"/>
    <n v="0.2"/>
    <n v="8402.26"/>
    <x v="3"/>
    <n v="11994"/>
    <n v="2398.8000000000002"/>
    <x v="32"/>
    <x v="107"/>
    <n v="0"/>
  </r>
  <r>
    <x v="108"/>
    <d v="2028-07-31T00:00:00"/>
    <s v="2028"/>
    <x v="3"/>
    <s v="Divya"/>
    <x v="1"/>
    <x v="2"/>
    <x v="0"/>
    <x v="13"/>
    <n v="8"/>
    <n v="650"/>
    <n v="0"/>
    <n v="3079.58"/>
    <x v="2"/>
    <n v="5200"/>
    <n v="0"/>
    <x v="32"/>
    <x v="108"/>
    <n v="0"/>
  </r>
  <r>
    <x v="109"/>
    <d v="2028-08-01T00:00:00"/>
    <s v="2028"/>
    <x v="4"/>
    <s v="Anitha"/>
    <x v="1"/>
    <x v="0"/>
    <x v="2"/>
    <x v="15"/>
    <n v="5"/>
    <n v="499"/>
    <n v="0.2"/>
    <n v="1464.76"/>
    <x v="3"/>
    <n v="2495"/>
    <n v="499"/>
    <x v="32"/>
    <x v="109"/>
    <n v="0"/>
  </r>
  <r>
    <x v="110"/>
    <d v="2028-08-02T00:00:00"/>
    <s v="2028"/>
    <x v="4"/>
    <s v="Divya"/>
    <x v="1"/>
    <x v="5"/>
    <x v="0"/>
    <x v="13"/>
    <n v="4"/>
    <n v="650"/>
    <n v="0.15"/>
    <n v="1449.52"/>
    <x v="0"/>
    <n v="2600"/>
    <n v="390"/>
    <x v="32"/>
    <x v="110"/>
    <n v="0"/>
  </r>
  <r>
    <x v="111"/>
    <d v="2028-08-03T00:00:00"/>
    <s v="2028"/>
    <x v="4"/>
    <s v="Suresh"/>
    <x v="0"/>
    <x v="5"/>
    <x v="1"/>
    <x v="19"/>
    <n v="5"/>
    <n v="299"/>
    <n v="0.15"/>
    <n v="874.58"/>
    <x v="1"/>
    <n v="1495"/>
    <n v="224.25"/>
    <x v="32"/>
    <x v="111"/>
    <n v="0"/>
  </r>
  <r>
    <x v="112"/>
    <d v="2028-08-04T00:00:00"/>
    <s v="2028"/>
    <x v="4"/>
    <s v="Divya"/>
    <x v="1"/>
    <x v="0"/>
    <x v="1"/>
    <x v="11"/>
    <n v="3"/>
    <n v="899"/>
    <n v="0.15"/>
    <n v="1850.39"/>
    <x v="0"/>
    <n v="2697"/>
    <n v="404.55"/>
    <x v="32"/>
    <x v="112"/>
    <n v="0"/>
  </r>
  <r>
    <x v="113"/>
    <d v="2028-08-05T00:00:00"/>
    <s v="2028"/>
    <x v="4"/>
    <s v="Suresh"/>
    <x v="0"/>
    <x v="4"/>
    <x v="1"/>
    <x v="19"/>
    <n v="7"/>
    <n v="299"/>
    <n v="0.1"/>
    <n v="1171.69"/>
    <x v="3"/>
    <n v="2093"/>
    <n v="209.3"/>
    <x v="32"/>
    <x v="113"/>
    <n v="0"/>
  </r>
  <r>
    <x v="114"/>
    <d v="2028-08-06T00:00:00"/>
    <s v="2028"/>
    <x v="4"/>
    <s v="Vijay"/>
    <x v="1"/>
    <x v="1"/>
    <x v="0"/>
    <x v="13"/>
    <n v="6"/>
    <n v="650"/>
    <n v="0.2"/>
    <n v="3199.98"/>
    <x v="3"/>
    <n v="3900"/>
    <n v="780"/>
    <x v="32"/>
    <x v="114"/>
    <n v="0"/>
  </r>
  <r>
    <x v="115"/>
    <d v="2028-08-07T00:00:00"/>
    <s v="2028"/>
    <x v="4"/>
    <s v="Anitha"/>
    <x v="1"/>
    <x v="1"/>
    <x v="1"/>
    <x v="19"/>
    <n v="2"/>
    <n v="299"/>
    <n v="0.05"/>
    <n v="444.02"/>
    <x v="0"/>
    <n v="598"/>
    <n v="29.900000000000002"/>
    <x v="32"/>
    <x v="115"/>
    <n v="0"/>
  </r>
  <r>
    <x v="116"/>
    <d v="2028-08-08T00:00:00"/>
    <s v="2028"/>
    <x v="4"/>
    <s v="Arun"/>
    <x v="1"/>
    <x v="1"/>
    <x v="3"/>
    <x v="18"/>
    <n v="4"/>
    <n v="1999"/>
    <n v="0"/>
    <n v="6388.37"/>
    <x v="0"/>
    <n v="7996"/>
    <n v="0"/>
    <x v="32"/>
    <x v="116"/>
    <n v="0"/>
  </r>
  <r>
    <x v="117"/>
    <d v="2028-08-09T00:00:00"/>
    <s v="2028"/>
    <x v="4"/>
    <s v="Suresh"/>
    <x v="0"/>
    <x v="1"/>
    <x v="0"/>
    <x v="0"/>
    <n v="1"/>
    <n v="420"/>
    <n v="0.1"/>
    <n v="339.16"/>
    <x v="2"/>
    <n v="420"/>
    <n v="42"/>
    <x v="32"/>
    <x v="117"/>
    <n v="0"/>
  </r>
  <r>
    <x v="118"/>
    <d v="2028-08-10T00:00:00"/>
    <s v="2028"/>
    <x v="4"/>
    <s v="Meena"/>
    <x v="1"/>
    <x v="1"/>
    <x v="1"/>
    <x v="1"/>
    <n v="3"/>
    <n v="599"/>
    <n v="0"/>
    <n v="1181.48"/>
    <x v="2"/>
    <n v="1797"/>
    <n v="0"/>
    <x v="32"/>
    <x v="118"/>
    <n v="0"/>
  </r>
  <r>
    <x v="119"/>
    <d v="2028-08-11T00:00:00"/>
    <s v="2028"/>
    <x v="4"/>
    <s v="Rahul"/>
    <x v="0"/>
    <x v="1"/>
    <x v="0"/>
    <x v="13"/>
    <n v="3"/>
    <n v="650"/>
    <n v="0.15"/>
    <n v="1380.26"/>
    <x v="1"/>
    <n v="1950"/>
    <n v="292.5"/>
    <x v="32"/>
    <x v="119"/>
    <n v="0"/>
  </r>
  <r>
    <x v="120"/>
    <d v="2028-08-12T00:00:00"/>
    <s v="2028"/>
    <x v="4"/>
    <s v="Vijay"/>
    <x v="1"/>
    <x v="3"/>
    <x v="1"/>
    <x v="19"/>
    <n v="4"/>
    <n v="299"/>
    <n v="0.2"/>
    <n v="673.36"/>
    <x v="0"/>
    <n v="1196"/>
    <n v="239.20000000000002"/>
    <x v="32"/>
    <x v="120"/>
    <n v="0"/>
  </r>
  <r>
    <x v="121"/>
    <d v="2028-08-13T00:00:00"/>
    <s v="2028"/>
    <x v="4"/>
    <s v="Vijay"/>
    <x v="0"/>
    <x v="0"/>
    <x v="2"/>
    <x v="14"/>
    <n v="7"/>
    <n v="899"/>
    <n v="0"/>
    <n v="4386.7299999999996"/>
    <x v="4"/>
    <n v="6293"/>
    <n v="0"/>
    <x v="32"/>
    <x v="121"/>
    <n v="0"/>
  </r>
  <r>
    <x v="122"/>
    <d v="2028-08-14T00:00:00"/>
    <s v="2028"/>
    <x v="4"/>
    <s v="Priya"/>
    <x v="1"/>
    <x v="3"/>
    <x v="3"/>
    <x v="4"/>
    <n v="3"/>
    <n v="799"/>
    <n v="0.1"/>
    <n v="1767.3"/>
    <x v="0"/>
    <n v="2397"/>
    <n v="239.70000000000002"/>
    <x v="32"/>
    <x v="122"/>
    <n v="0"/>
  </r>
  <r>
    <x v="123"/>
    <d v="2028-08-15T00:00:00"/>
    <s v="2028"/>
    <x v="4"/>
    <s v="Rahul"/>
    <x v="1"/>
    <x v="3"/>
    <x v="0"/>
    <x v="12"/>
    <n v="7"/>
    <n v="55"/>
    <n v="0"/>
    <n v="303.35000000000002"/>
    <x v="1"/>
    <n v="385"/>
    <n v="0"/>
    <x v="32"/>
    <x v="123"/>
    <n v="0"/>
  </r>
  <r>
    <x v="124"/>
    <d v="2028-08-16T00:00:00"/>
    <s v="2028"/>
    <x v="4"/>
    <s v="Meena"/>
    <x v="0"/>
    <x v="4"/>
    <x v="2"/>
    <x v="7"/>
    <n v="7"/>
    <n v="1299"/>
    <n v="0.1"/>
    <n v="7258.27"/>
    <x v="4"/>
    <n v="9093"/>
    <n v="909.30000000000007"/>
    <x v="32"/>
    <x v="124"/>
    <n v="0"/>
  </r>
  <r>
    <x v="125"/>
    <d v="2028-08-17T00:00:00"/>
    <s v="2028"/>
    <x v="4"/>
    <s v="Priya"/>
    <x v="1"/>
    <x v="4"/>
    <x v="0"/>
    <x v="17"/>
    <n v="6"/>
    <n v="180"/>
    <n v="0.05"/>
    <n v="816.53"/>
    <x v="4"/>
    <n v="1080"/>
    <n v="54"/>
    <x v="32"/>
    <x v="125"/>
    <n v="0"/>
  </r>
  <r>
    <x v="126"/>
    <d v="2028-08-18T00:00:00"/>
    <s v="2028"/>
    <x v="4"/>
    <s v="Priya"/>
    <x v="0"/>
    <x v="0"/>
    <x v="2"/>
    <x v="15"/>
    <n v="6"/>
    <n v="499"/>
    <n v="0.05"/>
    <n v="2146.4299999999998"/>
    <x v="0"/>
    <n v="2994"/>
    <n v="149.70000000000002"/>
    <x v="32"/>
    <x v="126"/>
    <n v="0"/>
  </r>
  <r>
    <x v="127"/>
    <d v="2028-08-19T00:00:00"/>
    <s v="2028"/>
    <x v="4"/>
    <s v="Meena"/>
    <x v="1"/>
    <x v="5"/>
    <x v="1"/>
    <x v="19"/>
    <n v="6"/>
    <n v="299"/>
    <n v="0.15"/>
    <n v="1453.91"/>
    <x v="1"/>
    <n v="1794"/>
    <n v="269.09999999999997"/>
    <x v="32"/>
    <x v="127"/>
    <n v="0"/>
  </r>
  <r>
    <x v="128"/>
    <d v="2028-08-20T00:00:00"/>
    <s v="2028"/>
    <x v="4"/>
    <s v="Suresh"/>
    <x v="1"/>
    <x v="2"/>
    <x v="1"/>
    <x v="9"/>
    <n v="4"/>
    <n v="1299"/>
    <n v="0.05"/>
    <n v="3881.52"/>
    <x v="2"/>
    <n v="5196"/>
    <n v="259.8"/>
    <x v="32"/>
    <x v="128"/>
    <n v="0"/>
  </r>
  <r>
    <x v="129"/>
    <d v="2028-08-21T00:00:00"/>
    <s v="2028"/>
    <x v="4"/>
    <s v="Rahul"/>
    <x v="1"/>
    <x v="0"/>
    <x v="0"/>
    <x v="10"/>
    <n v="4"/>
    <n v="240"/>
    <n v="0.15"/>
    <n v="771.4"/>
    <x v="0"/>
    <n v="960"/>
    <n v="144"/>
    <x v="32"/>
    <x v="129"/>
    <n v="0"/>
  </r>
  <r>
    <x v="130"/>
    <d v="2028-08-22T00:00:00"/>
    <s v="2028"/>
    <x v="4"/>
    <s v="Meena"/>
    <x v="0"/>
    <x v="3"/>
    <x v="0"/>
    <x v="13"/>
    <n v="3"/>
    <n v="650"/>
    <n v="0.1"/>
    <n v="1483.58"/>
    <x v="3"/>
    <n v="1950"/>
    <n v="195"/>
    <x v="32"/>
    <x v="130"/>
    <n v="0"/>
  </r>
  <r>
    <x v="131"/>
    <d v="2028-08-23T00:00:00"/>
    <s v="2028"/>
    <x v="4"/>
    <s v="Rahul"/>
    <x v="0"/>
    <x v="1"/>
    <x v="3"/>
    <x v="18"/>
    <n v="7"/>
    <n v="1999"/>
    <n v="0"/>
    <n v="8291.73"/>
    <x v="1"/>
    <n v="13993"/>
    <n v="0"/>
    <x v="32"/>
    <x v="131"/>
    <n v="0"/>
  </r>
  <r>
    <x v="132"/>
    <d v="2028-08-24T00:00:00"/>
    <s v="2028"/>
    <x v="4"/>
    <s v="Meena"/>
    <x v="0"/>
    <x v="4"/>
    <x v="2"/>
    <x v="14"/>
    <n v="6"/>
    <n v="899"/>
    <n v="0.05"/>
    <n v="3565.52"/>
    <x v="3"/>
    <n v="5394"/>
    <n v="269.7"/>
    <x v="32"/>
    <x v="132"/>
    <n v="0"/>
  </r>
  <r>
    <x v="133"/>
    <d v="2028-08-25T00:00:00"/>
    <s v="2028"/>
    <x v="4"/>
    <s v="Suresh"/>
    <x v="0"/>
    <x v="0"/>
    <x v="3"/>
    <x v="3"/>
    <n v="1"/>
    <n v="1599"/>
    <n v="0"/>
    <n v="1009.98"/>
    <x v="4"/>
    <n v="1599"/>
    <n v="0"/>
    <x v="32"/>
    <x v="133"/>
    <n v="0"/>
  </r>
  <r>
    <x v="134"/>
    <d v="2028-08-26T00:00:00"/>
    <s v="2028"/>
    <x v="4"/>
    <s v="Suresh"/>
    <x v="1"/>
    <x v="4"/>
    <x v="0"/>
    <x v="0"/>
    <n v="2"/>
    <n v="420"/>
    <n v="0.1"/>
    <n v="570.34"/>
    <x v="3"/>
    <n v="840"/>
    <n v="84"/>
    <x v="32"/>
    <x v="134"/>
    <n v="0"/>
  </r>
  <r>
    <x v="135"/>
    <d v="2028-08-27T00:00:00"/>
    <s v="2028"/>
    <x v="4"/>
    <s v="Suresh"/>
    <x v="1"/>
    <x v="3"/>
    <x v="0"/>
    <x v="13"/>
    <n v="4"/>
    <n v="650"/>
    <n v="0.15"/>
    <n v="2197.87"/>
    <x v="1"/>
    <n v="2600"/>
    <n v="390"/>
    <x v="32"/>
    <x v="135"/>
    <n v="0"/>
  </r>
  <r>
    <x v="136"/>
    <d v="2028-08-28T00:00:00"/>
    <s v="2028"/>
    <x v="4"/>
    <s v="Shahina"/>
    <x v="1"/>
    <x v="1"/>
    <x v="3"/>
    <x v="16"/>
    <n v="5"/>
    <n v="999"/>
    <n v="0.1"/>
    <n v="2927.05"/>
    <x v="4"/>
    <n v="4995"/>
    <n v="499.5"/>
    <x v="32"/>
    <x v="136"/>
    <n v="0"/>
  </r>
  <r>
    <x v="137"/>
    <d v="2028-08-29T00:00:00"/>
    <s v="2028"/>
    <x v="4"/>
    <s v="Kumar"/>
    <x v="0"/>
    <x v="4"/>
    <x v="3"/>
    <x v="18"/>
    <n v="6"/>
    <n v="1999"/>
    <n v="0"/>
    <n v="8025.44"/>
    <x v="1"/>
    <n v="11994"/>
    <n v="0"/>
    <x v="32"/>
    <x v="137"/>
    <n v="0"/>
  </r>
  <r>
    <x v="138"/>
    <d v="2028-08-30T00:00:00"/>
    <s v="2028"/>
    <x v="4"/>
    <s v="Arun"/>
    <x v="1"/>
    <x v="0"/>
    <x v="0"/>
    <x v="10"/>
    <n v="7"/>
    <n v="240"/>
    <n v="0.2"/>
    <n v="1127.83"/>
    <x v="4"/>
    <n v="1680"/>
    <n v="336"/>
    <x v="32"/>
    <x v="138"/>
    <n v="0"/>
  </r>
  <r>
    <x v="139"/>
    <d v="2028-08-31T00:00:00"/>
    <s v="2028"/>
    <x v="4"/>
    <s v="Priya"/>
    <x v="1"/>
    <x v="0"/>
    <x v="0"/>
    <x v="0"/>
    <n v="8"/>
    <n v="420"/>
    <n v="0.1"/>
    <n v="1936.83"/>
    <x v="1"/>
    <n v="3360"/>
    <n v="336"/>
    <x v="32"/>
    <x v="139"/>
    <n v="0"/>
  </r>
  <r>
    <x v="140"/>
    <d v="2028-09-01T00:00:00"/>
    <s v="2028"/>
    <x v="5"/>
    <s v="Anitha"/>
    <x v="1"/>
    <x v="3"/>
    <x v="1"/>
    <x v="19"/>
    <n v="5"/>
    <n v="299"/>
    <n v="0.1"/>
    <n v="921.63"/>
    <x v="2"/>
    <n v="1495"/>
    <n v="149.5"/>
    <x v="32"/>
    <x v="140"/>
    <n v="0"/>
  </r>
  <r>
    <x v="141"/>
    <d v="2028-09-02T00:00:00"/>
    <s v="2028"/>
    <x v="5"/>
    <s v="Meena"/>
    <x v="0"/>
    <x v="3"/>
    <x v="3"/>
    <x v="16"/>
    <n v="6"/>
    <n v="999"/>
    <n v="0.05"/>
    <n v="3721.56"/>
    <x v="2"/>
    <n v="5994"/>
    <n v="299.7"/>
    <x v="32"/>
    <x v="141"/>
    <n v="0"/>
  </r>
  <r>
    <x v="142"/>
    <d v="2028-09-03T00:00:00"/>
    <s v="2028"/>
    <x v="5"/>
    <s v="Shahina"/>
    <x v="0"/>
    <x v="3"/>
    <x v="3"/>
    <x v="4"/>
    <n v="3"/>
    <n v="799"/>
    <n v="0.15"/>
    <n v="1651.98"/>
    <x v="0"/>
    <n v="2397"/>
    <n v="359.55"/>
    <x v="32"/>
    <x v="142"/>
    <n v="0"/>
  </r>
  <r>
    <x v="143"/>
    <d v="2028-09-04T00:00:00"/>
    <s v="2028"/>
    <x v="5"/>
    <s v="Vijay"/>
    <x v="1"/>
    <x v="5"/>
    <x v="0"/>
    <x v="0"/>
    <n v="8"/>
    <n v="420"/>
    <n v="0"/>
    <n v="2320.67"/>
    <x v="3"/>
    <n v="3360"/>
    <n v="0"/>
    <x v="32"/>
    <x v="143"/>
    <n v="0"/>
  </r>
  <r>
    <x v="144"/>
    <d v="2028-09-05T00:00:00"/>
    <s v="2028"/>
    <x v="5"/>
    <s v="Suresh"/>
    <x v="0"/>
    <x v="2"/>
    <x v="1"/>
    <x v="6"/>
    <n v="8"/>
    <n v="1499"/>
    <n v="0.15"/>
    <n v="6730.9"/>
    <x v="3"/>
    <n v="11992"/>
    <n v="1798.8"/>
    <x v="32"/>
    <x v="144"/>
    <n v="0"/>
  </r>
  <r>
    <x v="145"/>
    <d v="2028-09-06T00:00:00"/>
    <s v="2028"/>
    <x v="5"/>
    <s v="Priya"/>
    <x v="0"/>
    <x v="3"/>
    <x v="2"/>
    <x v="14"/>
    <n v="1"/>
    <n v="899"/>
    <n v="0.15"/>
    <n v="739.62"/>
    <x v="0"/>
    <n v="899"/>
    <n v="134.85"/>
    <x v="32"/>
    <x v="145"/>
    <n v="0"/>
  </r>
  <r>
    <x v="146"/>
    <d v="2028-09-07T00:00:00"/>
    <s v="2028"/>
    <x v="5"/>
    <s v="Shahina"/>
    <x v="1"/>
    <x v="3"/>
    <x v="2"/>
    <x v="2"/>
    <n v="3"/>
    <n v="1499"/>
    <n v="0"/>
    <n v="3081.15"/>
    <x v="3"/>
    <n v="4497"/>
    <n v="0"/>
    <x v="32"/>
    <x v="146"/>
    <n v="0"/>
  </r>
  <r>
    <x v="147"/>
    <d v="2028-09-08T00:00:00"/>
    <s v="2028"/>
    <x v="5"/>
    <s v="Meena"/>
    <x v="0"/>
    <x v="0"/>
    <x v="3"/>
    <x v="8"/>
    <n v="8"/>
    <n v="1199"/>
    <n v="0.2"/>
    <n v="6779.86"/>
    <x v="2"/>
    <n v="9592"/>
    <n v="1918.4"/>
    <x v="32"/>
    <x v="147"/>
    <n v="0"/>
  </r>
  <r>
    <x v="148"/>
    <d v="2028-09-09T00:00:00"/>
    <s v="2028"/>
    <x v="5"/>
    <s v="Rahul"/>
    <x v="1"/>
    <x v="4"/>
    <x v="2"/>
    <x v="5"/>
    <n v="1"/>
    <n v="699"/>
    <n v="0.1"/>
    <n v="398.27"/>
    <x v="1"/>
    <n v="699"/>
    <n v="69.900000000000006"/>
    <x v="32"/>
    <x v="148"/>
    <n v="0"/>
  </r>
  <r>
    <x v="149"/>
    <d v="2028-09-10T00:00:00"/>
    <s v="2028"/>
    <x v="5"/>
    <s v="Anitha"/>
    <x v="1"/>
    <x v="2"/>
    <x v="3"/>
    <x v="16"/>
    <n v="2"/>
    <n v="999"/>
    <n v="0.2"/>
    <n v="1496.67"/>
    <x v="3"/>
    <n v="1998"/>
    <n v="399.6"/>
    <x v="32"/>
    <x v="149"/>
    <n v="0"/>
  </r>
  <r>
    <x v="150"/>
    <d v="2028-09-11T00:00:00"/>
    <s v="2028"/>
    <x v="5"/>
    <s v="Anitha"/>
    <x v="0"/>
    <x v="3"/>
    <x v="1"/>
    <x v="6"/>
    <n v="7"/>
    <n v="1499"/>
    <n v="0.1"/>
    <n v="8330.9699999999993"/>
    <x v="0"/>
    <n v="10493"/>
    <n v="1049.3"/>
    <x v="32"/>
    <x v="150"/>
    <n v="0"/>
  </r>
  <r>
    <x v="151"/>
    <d v="2028-09-12T00:00:00"/>
    <s v="2028"/>
    <x v="5"/>
    <s v="Anitha"/>
    <x v="1"/>
    <x v="0"/>
    <x v="0"/>
    <x v="17"/>
    <n v="3"/>
    <n v="180"/>
    <n v="0.05"/>
    <n v="352.36"/>
    <x v="4"/>
    <n v="540"/>
    <n v="27"/>
    <x v="32"/>
    <x v="151"/>
    <n v="0"/>
  </r>
  <r>
    <x v="152"/>
    <d v="2028-09-13T00:00:00"/>
    <s v="2028"/>
    <x v="5"/>
    <s v="Shahina"/>
    <x v="0"/>
    <x v="1"/>
    <x v="1"/>
    <x v="6"/>
    <n v="2"/>
    <n v="1499"/>
    <n v="0.2"/>
    <n v="2342.2199999999998"/>
    <x v="0"/>
    <n v="2998"/>
    <n v="599.6"/>
    <x v="32"/>
    <x v="152"/>
    <n v="0"/>
  </r>
  <r>
    <x v="153"/>
    <d v="2028-09-14T00:00:00"/>
    <s v="2028"/>
    <x v="5"/>
    <s v="Rahul"/>
    <x v="0"/>
    <x v="3"/>
    <x v="2"/>
    <x v="7"/>
    <n v="3"/>
    <n v="1299"/>
    <n v="0.05"/>
    <n v="3115.28"/>
    <x v="0"/>
    <n v="3897"/>
    <n v="194.85000000000002"/>
    <x v="32"/>
    <x v="153"/>
    <n v="0"/>
  </r>
  <r>
    <x v="154"/>
    <d v="2028-09-15T00:00:00"/>
    <s v="2028"/>
    <x v="5"/>
    <s v="Vijay"/>
    <x v="0"/>
    <x v="4"/>
    <x v="0"/>
    <x v="0"/>
    <n v="8"/>
    <n v="420"/>
    <n v="0.2"/>
    <n v="2135.21"/>
    <x v="4"/>
    <n v="3360"/>
    <n v="672"/>
    <x v="32"/>
    <x v="154"/>
    <n v="0"/>
  </r>
  <r>
    <x v="155"/>
    <d v="2028-09-16T00:00:00"/>
    <s v="2028"/>
    <x v="5"/>
    <s v="Meena"/>
    <x v="0"/>
    <x v="2"/>
    <x v="2"/>
    <x v="7"/>
    <n v="6"/>
    <n v="1299"/>
    <n v="0.2"/>
    <n v="6588.52"/>
    <x v="4"/>
    <n v="7794"/>
    <n v="1558.8000000000002"/>
    <x v="32"/>
    <x v="155"/>
    <n v="0"/>
  </r>
  <r>
    <x v="156"/>
    <d v="2028-09-17T00:00:00"/>
    <s v="2028"/>
    <x v="5"/>
    <s v="Anitha"/>
    <x v="1"/>
    <x v="1"/>
    <x v="3"/>
    <x v="18"/>
    <n v="3"/>
    <n v="1999"/>
    <n v="0.1"/>
    <n v="3392.23"/>
    <x v="4"/>
    <n v="5997"/>
    <n v="599.70000000000005"/>
    <x v="32"/>
    <x v="156"/>
    <n v="0"/>
  </r>
  <r>
    <x v="157"/>
    <d v="2028-09-18T00:00:00"/>
    <s v="2028"/>
    <x v="5"/>
    <s v="Meena"/>
    <x v="0"/>
    <x v="5"/>
    <x v="1"/>
    <x v="6"/>
    <n v="2"/>
    <n v="1499"/>
    <n v="0.05"/>
    <n v="1894.25"/>
    <x v="0"/>
    <n v="2998"/>
    <n v="149.9"/>
    <x v="32"/>
    <x v="157"/>
    <n v="0"/>
  </r>
  <r>
    <x v="158"/>
    <d v="2028-09-19T00:00:00"/>
    <s v="2028"/>
    <x v="5"/>
    <s v="Anitha"/>
    <x v="0"/>
    <x v="1"/>
    <x v="2"/>
    <x v="5"/>
    <n v="1"/>
    <n v="699"/>
    <n v="0.15"/>
    <n v="395.62"/>
    <x v="0"/>
    <n v="699"/>
    <n v="104.85"/>
    <x v="32"/>
    <x v="158"/>
    <n v="0"/>
  </r>
  <r>
    <x v="159"/>
    <d v="2028-09-20T00:00:00"/>
    <s v="2028"/>
    <x v="5"/>
    <s v="Shahina"/>
    <x v="1"/>
    <x v="0"/>
    <x v="0"/>
    <x v="0"/>
    <n v="1"/>
    <n v="420"/>
    <n v="0.1"/>
    <n v="348.28"/>
    <x v="3"/>
    <n v="420"/>
    <n v="42"/>
    <x v="32"/>
    <x v="159"/>
    <n v="0"/>
  </r>
  <r>
    <x v="160"/>
    <d v="2028-09-21T00:00:00"/>
    <s v="2028"/>
    <x v="5"/>
    <s v="Kumar"/>
    <x v="0"/>
    <x v="2"/>
    <x v="2"/>
    <x v="7"/>
    <n v="8"/>
    <n v="1299"/>
    <n v="0.15"/>
    <n v="7634.01"/>
    <x v="1"/>
    <n v="10392"/>
    <n v="1558.8"/>
    <x v="32"/>
    <x v="160"/>
    <n v="0"/>
  </r>
  <r>
    <x v="161"/>
    <d v="2028-09-22T00:00:00"/>
    <s v="2028"/>
    <x v="5"/>
    <s v="Divya"/>
    <x v="0"/>
    <x v="1"/>
    <x v="2"/>
    <x v="15"/>
    <n v="5"/>
    <n v="499"/>
    <n v="0.05"/>
    <n v="1597.66"/>
    <x v="1"/>
    <n v="2495"/>
    <n v="124.75"/>
    <x v="32"/>
    <x v="161"/>
    <n v="0"/>
  </r>
  <r>
    <x v="162"/>
    <d v="2028-09-23T00:00:00"/>
    <s v="2028"/>
    <x v="5"/>
    <s v="Anitha"/>
    <x v="1"/>
    <x v="0"/>
    <x v="1"/>
    <x v="19"/>
    <n v="1"/>
    <n v="299"/>
    <n v="0.2"/>
    <n v="216.03"/>
    <x v="2"/>
    <n v="299"/>
    <n v="59.800000000000004"/>
    <x v="32"/>
    <x v="162"/>
    <n v="0"/>
  </r>
  <r>
    <x v="163"/>
    <d v="2028-09-24T00:00:00"/>
    <s v="2028"/>
    <x v="5"/>
    <s v="Anitha"/>
    <x v="0"/>
    <x v="3"/>
    <x v="0"/>
    <x v="0"/>
    <n v="7"/>
    <n v="420"/>
    <n v="0.05"/>
    <n v="2202.98"/>
    <x v="1"/>
    <n v="2940"/>
    <n v="147"/>
    <x v="32"/>
    <x v="163"/>
    <n v="0"/>
  </r>
  <r>
    <x v="164"/>
    <d v="2028-09-25T00:00:00"/>
    <s v="2028"/>
    <x v="5"/>
    <s v="Rahul"/>
    <x v="0"/>
    <x v="3"/>
    <x v="1"/>
    <x v="19"/>
    <n v="8"/>
    <n v="299"/>
    <n v="0"/>
    <n v="1771.76"/>
    <x v="3"/>
    <n v="2392"/>
    <n v="0"/>
    <x v="32"/>
    <x v="164"/>
    <n v="0"/>
  </r>
  <r>
    <x v="165"/>
    <d v="2028-09-26T00:00:00"/>
    <s v="2028"/>
    <x v="5"/>
    <s v="Arun"/>
    <x v="1"/>
    <x v="0"/>
    <x v="0"/>
    <x v="0"/>
    <n v="2"/>
    <n v="420"/>
    <n v="0.2"/>
    <n v="647.27"/>
    <x v="3"/>
    <n v="840"/>
    <n v="168"/>
    <x v="32"/>
    <x v="165"/>
    <n v="0"/>
  </r>
  <r>
    <x v="166"/>
    <d v="2028-09-27T00:00:00"/>
    <s v="2028"/>
    <x v="5"/>
    <s v="Arun"/>
    <x v="1"/>
    <x v="3"/>
    <x v="0"/>
    <x v="0"/>
    <n v="8"/>
    <n v="420"/>
    <n v="0.15"/>
    <n v="2484.79"/>
    <x v="2"/>
    <n v="3360"/>
    <n v="504"/>
    <x v="32"/>
    <x v="166"/>
    <n v="0"/>
  </r>
  <r>
    <x v="167"/>
    <d v="2028-09-28T00:00:00"/>
    <s v="2028"/>
    <x v="5"/>
    <s v="Vijay"/>
    <x v="0"/>
    <x v="2"/>
    <x v="3"/>
    <x v="4"/>
    <n v="4"/>
    <n v="799"/>
    <n v="0"/>
    <n v="2060.39"/>
    <x v="3"/>
    <n v="3196"/>
    <n v="0"/>
    <x v="32"/>
    <x v="167"/>
    <n v="0"/>
  </r>
  <r>
    <x v="168"/>
    <d v="2028-09-29T00:00:00"/>
    <s v="2028"/>
    <x v="5"/>
    <s v="Anitha"/>
    <x v="1"/>
    <x v="2"/>
    <x v="1"/>
    <x v="11"/>
    <n v="5"/>
    <n v="899"/>
    <n v="0.1"/>
    <n v="3634.84"/>
    <x v="1"/>
    <n v="4495"/>
    <n v="449.5"/>
    <x v="32"/>
    <x v="168"/>
    <n v="0"/>
  </r>
  <r>
    <x v="169"/>
    <d v="2028-09-30T00:00:00"/>
    <s v="2028"/>
    <x v="5"/>
    <s v="Rahul"/>
    <x v="1"/>
    <x v="0"/>
    <x v="0"/>
    <x v="12"/>
    <n v="7"/>
    <n v="55"/>
    <n v="0.15"/>
    <n v="315.08"/>
    <x v="4"/>
    <n v="385"/>
    <n v="57.75"/>
    <x v="32"/>
    <x v="169"/>
    <n v="0"/>
  </r>
  <r>
    <x v="170"/>
    <d v="2028-10-01T00:00:00"/>
    <s v="2028"/>
    <x v="6"/>
    <s v="Kumar"/>
    <x v="1"/>
    <x v="5"/>
    <x v="2"/>
    <x v="5"/>
    <n v="5"/>
    <n v="699"/>
    <n v="0"/>
    <n v="2684.59"/>
    <x v="1"/>
    <n v="3495"/>
    <n v="0"/>
    <x v="32"/>
    <x v="170"/>
    <n v="0"/>
  </r>
  <r>
    <x v="171"/>
    <d v="2028-10-02T00:00:00"/>
    <s v="2028"/>
    <x v="6"/>
    <s v="Suresh"/>
    <x v="0"/>
    <x v="3"/>
    <x v="0"/>
    <x v="17"/>
    <n v="2"/>
    <n v="180"/>
    <n v="0"/>
    <n v="233.42"/>
    <x v="3"/>
    <n v="360"/>
    <n v="0"/>
    <x v="32"/>
    <x v="171"/>
    <n v="0"/>
  </r>
  <r>
    <x v="172"/>
    <d v="2028-10-03T00:00:00"/>
    <s v="2028"/>
    <x v="6"/>
    <s v="Vijay"/>
    <x v="1"/>
    <x v="1"/>
    <x v="2"/>
    <x v="5"/>
    <n v="8"/>
    <n v="699"/>
    <n v="0"/>
    <n v="4294.8999999999996"/>
    <x v="3"/>
    <n v="5592"/>
    <n v="0"/>
    <x v="32"/>
    <x v="172"/>
    <n v="0"/>
  </r>
  <r>
    <x v="173"/>
    <d v="2028-10-04T00:00:00"/>
    <s v="2028"/>
    <x v="6"/>
    <s v="Anitha"/>
    <x v="1"/>
    <x v="5"/>
    <x v="1"/>
    <x v="1"/>
    <n v="7"/>
    <n v="599"/>
    <n v="0.1"/>
    <n v="2951.56"/>
    <x v="2"/>
    <n v="4193"/>
    <n v="419.3"/>
    <x v="32"/>
    <x v="173"/>
    <n v="0"/>
  </r>
  <r>
    <x v="174"/>
    <d v="2028-10-05T00:00:00"/>
    <s v="2028"/>
    <x v="6"/>
    <s v="Kumar"/>
    <x v="1"/>
    <x v="0"/>
    <x v="3"/>
    <x v="4"/>
    <n v="4"/>
    <n v="799"/>
    <n v="0.1"/>
    <n v="2105.0300000000002"/>
    <x v="0"/>
    <n v="3196"/>
    <n v="319.60000000000002"/>
    <x v="32"/>
    <x v="174"/>
    <n v="0"/>
  </r>
  <r>
    <x v="175"/>
    <d v="2028-10-06T00:00:00"/>
    <s v="2028"/>
    <x v="6"/>
    <s v="Suresh"/>
    <x v="0"/>
    <x v="5"/>
    <x v="2"/>
    <x v="5"/>
    <n v="6"/>
    <n v="699"/>
    <n v="0.15"/>
    <n v="3266.81"/>
    <x v="0"/>
    <n v="4194"/>
    <n v="629.1"/>
    <x v="32"/>
    <x v="175"/>
    <n v="0"/>
  </r>
  <r>
    <x v="176"/>
    <d v="2028-10-07T00:00:00"/>
    <s v="2028"/>
    <x v="6"/>
    <s v="Meena"/>
    <x v="1"/>
    <x v="4"/>
    <x v="0"/>
    <x v="17"/>
    <n v="4"/>
    <n v="180"/>
    <n v="0"/>
    <n v="401.6"/>
    <x v="2"/>
    <n v="720"/>
    <n v="0"/>
    <x v="32"/>
    <x v="176"/>
    <n v="0"/>
  </r>
  <r>
    <x v="177"/>
    <d v="2028-10-08T00:00:00"/>
    <s v="2028"/>
    <x v="6"/>
    <s v="Meena"/>
    <x v="1"/>
    <x v="3"/>
    <x v="1"/>
    <x v="6"/>
    <n v="5"/>
    <n v="1499"/>
    <n v="0.15"/>
    <n v="4604.71"/>
    <x v="0"/>
    <n v="7495"/>
    <n v="1124.25"/>
    <x v="32"/>
    <x v="177"/>
    <n v="0"/>
  </r>
  <r>
    <x v="178"/>
    <d v="2028-10-09T00:00:00"/>
    <s v="2028"/>
    <x v="6"/>
    <s v="Vijay"/>
    <x v="0"/>
    <x v="0"/>
    <x v="3"/>
    <x v="4"/>
    <n v="8"/>
    <n v="799"/>
    <n v="0.05"/>
    <n v="5238.91"/>
    <x v="4"/>
    <n v="6392"/>
    <n v="319.60000000000002"/>
    <x v="32"/>
    <x v="178"/>
    <n v="0"/>
  </r>
  <r>
    <x v="179"/>
    <d v="2028-10-10T00:00:00"/>
    <s v="2028"/>
    <x v="6"/>
    <s v="Rahul"/>
    <x v="1"/>
    <x v="5"/>
    <x v="1"/>
    <x v="9"/>
    <n v="5"/>
    <n v="1299"/>
    <n v="0.1"/>
    <n v="5231.13"/>
    <x v="2"/>
    <n v="6495"/>
    <n v="649.5"/>
    <x v="32"/>
    <x v="179"/>
    <n v="0"/>
  </r>
  <r>
    <x v="180"/>
    <d v="2028-10-11T00:00:00"/>
    <s v="2028"/>
    <x v="6"/>
    <s v="Meena"/>
    <x v="0"/>
    <x v="0"/>
    <x v="3"/>
    <x v="3"/>
    <n v="4"/>
    <n v="1599"/>
    <n v="0.15"/>
    <n v="3568.23"/>
    <x v="0"/>
    <n v="6396"/>
    <n v="959.4"/>
    <x v="32"/>
    <x v="180"/>
    <n v="0"/>
  </r>
  <r>
    <x v="181"/>
    <d v="2028-10-12T00:00:00"/>
    <s v="2028"/>
    <x v="6"/>
    <s v="Rahul"/>
    <x v="1"/>
    <x v="3"/>
    <x v="3"/>
    <x v="18"/>
    <n v="2"/>
    <n v="1999"/>
    <n v="0"/>
    <n v="2569.86"/>
    <x v="4"/>
    <n v="3998"/>
    <n v="0"/>
    <x v="32"/>
    <x v="181"/>
    <n v="0"/>
  </r>
  <r>
    <x v="182"/>
    <d v="2028-10-13T00:00:00"/>
    <s v="2028"/>
    <x v="6"/>
    <s v="Anitha"/>
    <x v="1"/>
    <x v="3"/>
    <x v="1"/>
    <x v="11"/>
    <n v="6"/>
    <n v="899"/>
    <n v="0"/>
    <n v="3694.85"/>
    <x v="0"/>
    <n v="5394"/>
    <n v="0"/>
    <x v="32"/>
    <x v="182"/>
    <n v="0"/>
  </r>
  <r>
    <x v="183"/>
    <d v="2028-10-14T00:00:00"/>
    <s v="2028"/>
    <x v="6"/>
    <s v="Kumar"/>
    <x v="0"/>
    <x v="1"/>
    <x v="2"/>
    <x v="2"/>
    <n v="1"/>
    <n v="1499"/>
    <n v="0"/>
    <n v="1057.44"/>
    <x v="3"/>
    <n v="1499"/>
    <n v="0"/>
    <x v="32"/>
    <x v="183"/>
    <n v="0"/>
  </r>
  <r>
    <x v="184"/>
    <d v="2028-10-15T00:00:00"/>
    <s v="2028"/>
    <x v="6"/>
    <s v="Kumar"/>
    <x v="1"/>
    <x v="5"/>
    <x v="3"/>
    <x v="16"/>
    <n v="5"/>
    <n v="999"/>
    <n v="0"/>
    <n v="3122.78"/>
    <x v="0"/>
    <n v="4995"/>
    <n v="0"/>
    <x v="32"/>
    <x v="184"/>
    <n v="0"/>
  </r>
  <r>
    <x v="185"/>
    <d v="2028-10-16T00:00:00"/>
    <s v="2028"/>
    <x v="6"/>
    <s v="Kumar"/>
    <x v="1"/>
    <x v="3"/>
    <x v="1"/>
    <x v="9"/>
    <n v="3"/>
    <n v="1299"/>
    <n v="0.2"/>
    <n v="3244.18"/>
    <x v="2"/>
    <n v="3897"/>
    <n v="779.40000000000009"/>
    <x v="32"/>
    <x v="185"/>
    <n v="0"/>
  </r>
  <r>
    <x v="186"/>
    <d v="2028-10-17T00:00:00"/>
    <s v="2028"/>
    <x v="6"/>
    <s v="Suresh"/>
    <x v="1"/>
    <x v="3"/>
    <x v="1"/>
    <x v="1"/>
    <n v="2"/>
    <n v="599"/>
    <n v="0"/>
    <n v="999.81"/>
    <x v="0"/>
    <n v="1198"/>
    <n v="0"/>
    <x v="32"/>
    <x v="186"/>
    <n v="0"/>
  </r>
  <r>
    <x v="187"/>
    <d v="2028-10-18T00:00:00"/>
    <s v="2028"/>
    <x v="6"/>
    <s v="Shahina"/>
    <x v="1"/>
    <x v="3"/>
    <x v="1"/>
    <x v="19"/>
    <n v="5"/>
    <n v="299"/>
    <n v="0.1"/>
    <n v="1038.8499999999999"/>
    <x v="4"/>
    <n v="1495"/>
    <n v="149.5"/>
    <x v="32"/>
    <x v="187"/>
    <n v="0"/>
  </r>
  <r>
    <x v="188"/>
    <d v="2028-10-19T00:00:00"/>
    <s v="2028"/>
    <x v="6"/>
    <s v="Vijay"/>
    <x v="0"/>
    <x v="5"/>
    <x v="1"/>
    <x v="11"/>
    <n v="8"/>
    <n v="899"/>
    <n v="0.15"/>
    <n v="5000.42"/>
    <x v="2"/>
    <n v="7192"/>
    <n v="1078.8"/>
    <x v="32"/>
    <x v="188"/>
    <n v="0"/>
  </r>
  <r>
    <x v="189"/>
    <d v="2028-10-20T00:00:00"/>
    <s v="2028"/>
    <x v="6"/>
    <s v="Suresh"/>
    <x v="0"/>
    <x v="2"/>
    <x v="0"/>
    <x v="17"/>
    <n v="7"/>
    <n v="180"/>
    <n v="0.05"/>
    <n v="980.53"/>
    <x v="0"/>
    <n v="1260"/>
    <n v="63"/>
    <x v="32"/>
    <x v="189"/>
    <n v="0"/>
  </r>
  <r>
    <x v="190"/>
    <d v="2028-10-21T00:00:00"/>
    <s v="2028"/>
    <x v="6"/>
    <s v="Priya"/>
    <x v="1"/>
    <x v="1"/>
    <x v="2"/>
    <x v="15"/>
    <n v="5"/>
    <n v="499"/>
    <n v="0.15"/>
    <n v="1557.82"/>
    <x v="1"/>
    <n v="2495"/>
    <n v="374.25"/>
    <x v="32"/>
    <x v="190"/>
    <n v="0"/>
  </r>
  <r>
    <x v="191"/>
    <d v="2028-10-22T00:00:00"/>
    <s v="2028"/>
    <x v="6"/>
    <s v="Divya"/>
    <x v="1"/>
    <x v="3"/>
    <x v="2"/>
    <x v="7"/>
    <n v="3"/>
    <n v="1299"/>
    <n v="0.1"/>
    <n v="3235"/>
    <x v="3"/>
    <n v="3897"/>
    <n v="389.70000000000005"/>
    <x v="32"/>
    <x v="191"/>
    <n v="0"/>
  </r>
  <r>
    <x v="192"/>
    <d v="2028-10-23T00:00:00"/>
    <s v="2028"/>
    <x v="6"/>
    <s v="Kumar"/>
    <x v="1"/>
    <x v="3"/>
    <x v="2"/>
    <x v="14"/>
    <n v="5"/>
    <n v="899"/>
    <n v="0.15"/>
    <n v="2503.5"/>
    <x v="4"/>
    <n v="4495"/>
    <n v="674.25"/>
    <x v="32"/>
    <x v="192"/>
    <n v="0"/>
  </r>
  <r>
    <x v="193"/>
    <d v="2028-10-24T00:00:00"/>
    <s v="2028"/>
    <x v="6"/>
    <s v="Vijay"/>
    <x v="0"/>
    <x v="1"/>
    <x v="0"/>
    <x v="13"/>
    <n v="1"/>
    <n v="650"/>
    <n v="0.1"/>
    <n v="454"/>
    <x v="4"/>
    <n v="650"/>
    <n v="65"/>
    <x v="32"/>
    <x v="193"/>
    <n v="0"/>
  </r>
  <r>
    <x v="194"/>
    <d v="2028-10-25T00:00:00"/>
    <s v="2028"/>
    <x v="6"/>
    <s v="Meena"/>
    <x v="0"/>
    <x v="0"/>
    <x v="2"/>
    <x v="7"/>
    <n v="5"/>
    <n v="1299"/>
    <n v="0.1"/>
    <n v="5060.62"/>
    <x v="3"/>
    <n v="6495"/>
    <n v="649.5"/>
    <x v="32"/>
    <x v="194"/>
    <n v="0"/>
  </r>
  <r>
    <x v="195"/>
    <d v="2028-10-26T00:00:00"/>
    <s v="2028"/>
    <x v="6"/>
    <s v="Anitha"/>
    <x v="0"/>
    <x v="3"/>
    <x v="3"/>
    <x v="16"/>
    <n v="5"/>
    <n v="999"/>
    <n v="0"/>
    <n v="3326.19"/>
    <x v="4"/>
    <n v="4995"/>
    <n v="0"/>
    <x v="32"/>
    <x v="195"/>
    <n v="0"/>
  </r>
  <r>
    <x v="196"/>
    <d v="2028-10-27T00:00:00"/>
    <s v="2028"/>
    <x v="6"/>
    <s v="Divya"/>
    <x v="0"/>
    <x v="1"/>
    <x v="1"/>
    <x v="19"/>
    <n v="6"/>
    <n v="299"/>
    <n v="0.1"/>
    <n v="1286.93"/>
    <x v="3"/>
    <n v="1794"/>
    <n v="179.4"/>
    <x v="32"/>
    <x v="196"/>
    <n v="0"/>
  </r>
  <r>
    <x v="197"/>
    <d v="2028-10-28T00:00:00"/>
    <s v="2028"/>
    <x v="6"/>
    <s v="Shahina"/>
    <x v="1"/>
    <x v="3"/>
    <x v="1"/>
    <x v="1"/>
    <n v="1"/>
    <n v="599"/>
    <n v="0.05"/>
    <n v="457.68"/>
    <x v="4"/>
    <n v="599"/>
    <n v="29.950000000000003"/>
    <x v="32"/>
    <x v="197"/>
    <n v="0"/>
  </r>
  <r>
    <x v="198"/>
    <d v="2028-10-29T00:00:00"/>
    <s v="2028"/>
    <x v="6"/>
    <s v="Unknown"/>
    <x v="0"/>
    <x v="3"/>
    <x v="3"/>
    <x v="16"/>
    <n v="6"/>
    <n v="999"/>
    <n v="0.05"/>
    <n v="4003.31"/>
    <x v="0"/>
    <n v="5994"/>
    <n v="299.7"/>
    <x v="32"/>
    <x v="198"/>
    <n v="0"/>
  </r>
  <r>
    <x v="199"/>
    <d v="2028-10-30T00:00:00"/>
    <s v="2028"/>
    <x v="6"/>
    <s v="Suresh"/>
    <x v="1"/>
    <x v="3"/>
    <x v="2"/>
    <x v="2"/>
    <n v="5"/>
    <n v="1499"/>
    <n v="0.15"/>
    <n v="5956.46"/>
    <x v="3"/>
    <n v="7495"/>
    <n v="1124.25"/>
    <x v="32"/>
    <x v="199"/>
    <n v="0"/>
  </r>
  <r>
    <x v="200"/>
    <d v="2028-10-31T00:00:00"/>
    <s v="2028"/>
    <x v="6"/>
    <s v="Priya"/>
    <x v="1"/>
    <x v="3"/>
    <x v="0"/>
    <x v="13"/>
    <n v="8"/>
    <n v="650"/>
    <n v="0.1"/>
    <n v="4368.63"/>
    <x v="0"/>
    <n v="5200"/>
    <n v="520"/>
    <x v="32"/>
    <x v="200"/>
    <n v="0"/>
  </r>
  <r>
    <x v="201"/>
    <d v="2028-11-01T00:00:00"/>
    <s v="2028"/>
    <x v="7"/>
    <s v="Shahina"/>
    <x v="0"/>
    <x v="3"/>
    <x v="2"/>
    <x v="7"/>
    <n v="7"/>
    <n v="1299"/>
    <n v="0.05"/>
    <n v="7242.56"/>
    <x v="2"/>
    <n v="9093"/>
    <n v="454.65000000000003"/>
    <x v="32"/>
    <x v="201"/>
    <n v="0"/>
  </r>
  <r>
    <x v="202"/>
    <d v="2028-11-02T00:00:00"/>
    <s v="2028"/>
    <x v="7"/>
    <s v="Suresh"/>
    <x v="0"/>
    <x v="1"/>
    <x v="1"/>
    <x v="19"/>
    <n v="6"/>
    <n v="299"/>
    <n v="0.15"/>
    <n v="1068.2"/>
    <x v="2"/>
    <n v="1794"/>
    <n v="269.09999999999997"/>
    <x v="32"/>
    <x v="202"/>
    <n v="0"/>
  </r>
  <r>
    <x v="203"/>
    <d v="2028-11-03T00:00:00"/>
    <s v="2028"/>
    <x v="7"/>
    <s v="Meena"/>
    <x v="1"/>
    <x v="5"/>
    <x v="1"/>
    <x v="11"/>
    <n v="4"/>
    <n v="899"/>
    <n v="0.2"/>
    <n v="2328.46"/>
    <x v="4"/>
    <n v="3596"/>
    <n v="719.2"/>
    <x v="32"/>
    <x v="203"/>
    <n v="0"/>
  </r>
  <r>
    <x v="204"/>
    <d v="2028-11-04T00:00:00"/>
    <s v="2028"/>
    <x v="7"/>
    <s v="Anitha"/>
    <x v="1"/>
    <x v="1"/>
    <x v="2"/>
    <x v="2"/>
    <n v="6"/>
    <n v="1499"/>
    <n v="0.2"/>
    <n v="5902.64"/>
    <x v="3"/>
    <n v="8994"/>
    <n v="1798.8000000000002"/>
    <x v="32"/>
    <x v="204"/>
    <n v="0"/>
  </r>
  <r>
    <x v="205"/>
    <d v="2028-11-05T00:00:00"/>
    <s v="2028"/>
    <x v="7"/>
    <s v="Vijay"/>
    <x v="0"/>
    <x v="1"/>
    <x v="0"/>
    <x v="10"/>
    <n v="5"/>
    <n v="240"/>
    <n v="0.05"/>
    <n v="998.93"/>
    <x v="3"/>
    <n v="1200"/>
    <n v="60"/>
    <x v="32"/>
    <x v="205"/>
    <n v="0"/>
  </r>
  <r>
    <x v="206"/>
    <d v="2028-11-06T00:00:00"/>
    <s v="2028"/>
    <x v="7"/>
    <s v="Shahina"/>
    <x v="1"/>
    <x v="2"/>
    <x v="2"/>
    <x v="5"/>
    <n v="5"/>
    <n v="699"/>
    <n v="0.1"/>
    <n v="2050.0300000000002"/>
    <x v="0"/>
    <n v="3495"/>
    <n v="349.5"/>
    <x v="32"/>
    <x v="206"/>
    <n v="0"/>
  </r>
  <r>
    <x v="207"/>
    <d v="2028-11-07T00:00:00"/>
    <s v="2028"/>
    <x v="7"/>
    <s v="Anitha"/>
    <x v="1"/>
    <x v="1"/>
    <x v="0"/>
    <x v="13"/>
    <n v="5"/>
    <n v="650"/>
    <n v="0"/>
    <n v="2125.1999999999998"/>
    <x v="4"/>
    <n v="3250"/>
    <n v="0"/>
    <x v="32"/>
    <x v="207"/>
    <n v="0"/>
  </r>
  <r>
    <x v="208"/>
    <d v="2028-11-08T00:00:00"/>
    <s v="2028"/>
    <x v="7"/>
    <s v="Divya"/>
    <x v="1"/>
    <x v="1"/>
    <x v="3"/>
    <x v="18"/>
    <n v="5"/>
    <n v="1999"/>
    <n v="0.2"/>
    <n v="7584.72"/>
    <x v="2"/>
    <n v="9995"/>
    <n v="1999"/>
    <x v="32"/>
    <x v="208"/>
    <n v="0"/>
  </r>
  <r>
    <x v="209"/>
    <d v="2028-11-09T00:00:00"/>
    <s v="2028"/>
    <x v="7"/>
    <s v="Suresh"/>
    <x v="0"/>
    <x v="1"/>
    <x v="1"/>
    <x v="9"/>
    <n v="4"/>
    <n v="1299"/>
    <n v="0.05"/>
    <n v="2939.62"/>
    <x v="4"/>
    <n v="5196"/>
    <n v="259.8"/>
    <x v="32"/>
    <x v="209"/>
    <n v="0"/>
  </r>
  <r>
    <x v="210"/>
    <d v="2028-11-10T00:00:00"/>
    <s v="2028"/>
    <x v="7"/>
    <s v="Vijay"/>
    <x v="0"/>
    <x v="5"/>
    <x v="3"/>
    <x v="4"/>
    <n v="3"/>
    <n v="799"/>
    <n v="0.15"/>
    <n v="1787.85"/>
    <x v="4"/>
    <n v="2397"/>
    <n v="359.55"/>
    <x v="32"/>
    <x v="210"/>
    <n v="0"/>
  </r>
  <r>
    <x v="211"/>
    <d v="2028-11-11T00:00:00"/>
    <s v="2028"/>
    <x v="7"/>
    <s v="Shahina"/>
    <x v="1"/>
    <x v="2"/>
    <x v="0"/>
    <x v="13"/>
    <n v="2"/>
    <n v="650"/>
    <n v="0.2"/>
    <n v="805.57"/>
    <x v="1"/>
    <n v="1300"/>
    <n v="260"/>
    <x v="32"/>
    <x v="211"/>
    <n v="0"/>
  </r>
  <r>
    <x v="212"/>
    <d v="2028-11-12T00:00:00"/>
    <s v="2028"/>
    <x v="7"/>
    <s v="Anitha"/>
    <x v="0"/>
    <x v="0"/>
    <x v="2"/>
    <x v="14"/>
    <n v="3"/>
    <n v="899"/>
    <n v="0.1"/>
    <n v="2192.7199999999998"/>
    <x v="1"/>
    <n v="2697"/>
    <n v="269.7"/>
    <x v="32"/>
    <x v="212"/>
    <n v="0"/>
  </r>
  <r>
    <x v="213"/>
    <d v="2028-11-13T00:00:00"/>
    <s v="2028"/>
    <x v="7"/>
    <s v="Suresh"/>
    <x v="0"/>
    <x v="2"/>
    <x v="0"/>
    <x v="12"/>
    <n v="8"/>
    <n v="55"/>
    <n v="0.05"/>
    <n v="354.34"/>
    <x v="4"/>
    <n v="440"/>
    <n v="22"/>
    <x v="32"/>
    <x v="213"/>
    <n v="0"/>
  </r>
  <r>
    <x v="214"/>
    <d v="2028-11-14T00:00:00"/>
    <s v="2028"/>
    <x v="7"/>
    <s v="Shahina"/>
    <x v="0"/>
    <x v="2"/>
    <x v="3"/>
    <x v="8"/>
    <n v="5"/>
    <n v="1199"/>
    <n v="0.05"/>
    <n v="3322.58"/>
    <x v="3"/>
    <n v="5995"/>
    <n v="299.75"/>
    <x v="32"/>
    <x v="214"/>
    <n v="0"/>
  </r>
  <r>
    <x v="215"/>
    <d v="2028-11-15T00:00:00"/>
    <s v="2028"/>
    <x v="7"/>
    <s v="Suresh"/>
    <x v="0"/>
    <x v="1"/>
    <x v="2"/>
    <x v="14"/>
    <n v="6"/>
    <n v="899"/>
    <n v="0"/>
    <n v="3615.33"/>
    <x v="1"/>
    <n v="5394"/>
    <n v="0"/>
    <x v="32"/>
    <x v="215"/>
    <n v="0"/>
  </r>
  <r>
    <x v="216"/>
    <d v="2028-11-16T00:00:00"/>
    <s v="2028"/>
    <x v="7"/>
    <s v="Kumar"/>
    <x v="1"/>
    <x v="2"/>
    <x v="3"/>
    <x v="4"/>
    <n v="5"/>
    <n v="799"/>
    <n v="0.15"/>
    <n v="2479.52"/>
    <x v="3"/>
    <n v="3995"/>
    <n v="599.25"/>
    <x v="32"/>
    <x v="216"/>
    <n v="0"/>
  </r>
  <r>
    <x v="217"/>
    <d v="2028-11-17T00:00:00"/>
    <s v="2028"/>
    <x v="7"/>
    <s v="Divya"/>
    <x v="0"/>
    <x v="2"/>
    <x v="0"/>
    <x v="0"/>
    <n v="1"/>
    <n v="420"/>
    <n v="0"/>
    <n v="289.64"/>
    <x v="2"/>
    <n v="420"/>
    <n v="0"/>
    <x v="32"/>
    <x v="217"/>
    <n v="0"/>
  </r>
  <r>
    <x v="218"/>
    <d v="2028-11-18T00:00:00"/>
    <s v="2028"/>
    <x v="7"/>
    <s v="Meena"/>
    <x v="1"/>
    <x v="5"/>
    <x v="1"/>
    <x v="6"/>
    <n v="6"/>
    <n v="1499"/>
    <n v="0.2"/>
    <n v="5542.6"/>
    <x v="2"/>
    <n v="8994"/>
    <n v="1798.8000000000002"/>
    <x v="32"/>
    <x v="218"/>
    <n v="0"/>
  </r>
  <r>
    <x v="219"/>
    <d v="2028-11-19T00:00:00"/>
    <s v="2028"/>
    <x v="7"/>
    <s v="Kumar"/>
    <x v="1"/>
    <x v="5"/>
    <x v="0"/>
    <x v="12"/>
    <n v="8"/>
    <n v="55"/>
    <n v="0.2"/>
    <n v="347.86"/>
    <x v="2"/>
    <n v="440"/>
    <n v="88"/>
    <x v="32"/>
    <x v="219"/>
    <n v="0"/>
  </r>
  <r>
    <x v="220"/>
    <d v="2028-11-20T00:00:00"/>
    <s v="2028"/>
    <x v="7"/>
    <s v="Suresh"/>
    <x v="0"/>
    <x v="3"/>
    <x v="2"/>
    <x v="2"/>
    <n v="6"/>
    <n v="1499"/>
    <n v="0"/>
    <n v="7421.61"/>
    <x v="1"/>
    <n v="8994"/>
    <n v="0"/>
    <x v="32"/>
    <x v="220"/>
    <n v="0"/>
  </r>
  <r>
    <x v="221"/>
    <d v="2028-11-21T00:00:00"/>
    <s v="2028"/>
    <x v="7"/>
    <s v="Meena"/>
    <x v="0"/>
    <x v="3"/>
    <x v="3"/>
    <x v="3"/>
    <n v="6"/>
    <n v="1599"/>
    <n v="0.2"/>
    <n v="6548.41"/>
    <x v="2"/>
    <n v="9594"/>
    <n v="1918.8000000000002"/>
    <x v="32"/>
    <x v="221"/>
    <n v="0"/>
  </r>
  <r>
    <x v="222"/>
    <d v="2028-11-22T00:00:00"/>
    <s v="2028"/>
    <x v="7"/>
    <s v="Vijay"/>
    <x v="0"/>
    <x v="3"/>
    <x v="2"/>
    <x v="15"/>
    <n v="8"/>
    <n v="499"/>
    <n v="0.05"/>
    <n v="2810.27"/>
    <x v="4"/>
    <n v="3992"/>
    <n v="199.60000000000002"/>
    <x v="32"/>
    <x v="222"/>
    <n v="0"/>
  </r>
  <r>
    <x v="223"/>
    <d v="2028-11-23T00:00:00"/>
    <s v="2028"/>
    <x v="7"/>
    <s v="Arun"/>
    <x v="1"/>
    <x v="5"/>
    <x v="0"/>
    <x v="13"/>
    <n v="7"/>
    <n v="650"/>
    <n v="0.1"/>
    <n v="3616.96"/>
    <x v="2"/>
    <n v="4550"/>
    <n v="455"/>
    <x v="32"/>
    <x v="223"/>
    <n v="0"/>
  </r>
  <r>
    <x v="224"/>
    <d v="2028-11-24T00:00:00"/>
    <s v="2028"/>
    <x v="7"/>
    <s v="Priya"/>
    <x v="0"/>
    <x v="4"/>
    <x v="0"/>
    <x v="13"/>
    <n v="1"/>
    <n v="650"/>
    <n v="0"/>
    <n v="549.79999999999995"/>
    <x v="4"/>
    <n v="650"/>
    <n v="0"/>
    <x v="32"/>
    <x v="224"/>
    <n v="0"/>
  </r>
  <r>
    <x v="225"/>
    <d v="2028-11-25T00:00:00"/>
    <s v="2028"/>
    <x v="7"/>
    <s v="Divya"/>
    <x v="1"/>
    <x v="1"/>
    <x v="3"/>
    <x v="8"/>
    <n v="6"/>
    <n v="1199"/>
    <n v="0.15"/>
    <n v="4924.7299999999996"/>
    <x v="4"/>
    <n v="7194"/>
    <n v="1079.0999999999999"/>
    <x v="32"/>
    <x v="225"/>
    <n v="0"/>
  </r>
  <r>
    <x v="226"/>
    <d v="2028-11-26T00:00:00"/>
    <s v="2028"/>
    <x v="7"/>
    <s v="Priya"/>
    <x v="0"/>
    <x v="5"/>
    <x v="0"/>
    <x v="13"/>
    <n v="3"/>
    <n v="650"/>
    <n v="0.2"/>
    <n v="1302.44"/>
    <x v="2"/>
    <n v="1950"/>
    <n v="390"/>
    <x v="32"/>
    <x v="226"/>
    <n v="0"/>
  </r>
  <r>
    <x v="227"/>
    <d v="2028-11-27T00:00:00"/>
    <s v="2028"/>
    <x v="7"/>
    <s v="Arun"/>
    <x v="0"/>
    <x v="2"/>
    <x v="2"/>
    <x v="2"/>
    <n v="7"/>
    <n v="1499"/>
    <n v="0.2"/>
    <n v="6965.07"/>
    <x v="2"/>
    <n v="10493"/>
    <n v="2098.6"/>
    <x v="32"/>
    <x v="227"/>
    <n v="0"/>
  </r>
  <r>
    <x v="228"/>
    <d v="2028-11-28T00:00:00"/>
    <s v="2028"/>
    <x v="7"/>
    <s v="Vijay"/>
    <x v="1"/>
    <x v="1"/>
    <x v="0"/>
    <x v="0"/>
    <n v="2"/>
    <n v="420"/>
    <n v="0"/>
    <n v="665.99"/>
    <x v="4"/>
    <n v="840"/>
    <n v="0"/>
    <x v="32"/>
    <x v="228"/>
    <n v="0"/>
  </r>
  <r>
    <x v="229"/>
    <d v="2028-11-29T00:00:00"/>
    <s v="2028"/>
    <x v="7"/>
    <s v="Arun"/>
    <x v="0"/>
    <x v="1"/>
    <x v="1"/>
    <x v="1"/>
    <n v="1"/>
    <n v="599"/>
    <n v="0.15"/>
    <n v="436.87"/>
    <x v="1"/>
    <n v="599"/>
    <n v="89.85"/>
    <x v="32"/>
    <x v="229"/>
    <n v="0"/>
  </r>
  <r>
    <x v="230"/>
    <d v="2028-11-30T00:00:00"/>
    <s v="2028"/>
    <x v="7"/>
    <s v="Arun"/>
    <x v="1"/>
    <x v="4"/>
    <x v="3"/>
    <x v="18"/>
    <n v="4"/>
    <n v="1999"/>
    <n v="0"/>
    <n v="4733.96"/>
    <x v="3"/>
    <n v="7996"/>
    <n v="0"/>
    <x v="32"/>
    <x v="230"/>
    <n v="0"/>
  </r>
  <r>
    <x v="231"/>
    <d v="2028-12-01T00:00:00"/>
    <s v="2028"/>
    <x v="8"/>
    <s v="Suresh"/>
    <x v="1"/>
    <x v="3"/>
    <x v="0"/>
    <x v="0"/>
    <n v="5"/>
    <n v="420"/>
    <n v="0.05"/>
    <n v="1775.99"/>
    <x v="0"/>
    <n v="2100"/>
    <n v="105"/>
    <x v="32"/>
    <x v="231"/>
    <n v="0"/>
  </r>
  <r>
    <x v="232"/>
    <d v="2028-12-02T00:00:00"/>
    <s v="2028"/>
    <x v="8"/>
    <s v="Anitha"/>
    <x v="1"/>
    <x v="2"/>
    <x v="1"/>
    <x v="9"/>
    <n v="3"/>
    <n v="1299"/>
    <n v="0.15"/>
    <n v="2793.2"/>
    <x v="1"/>
    <n v="3897"/>
    <n v="584.54999999999995"/>
    <x v="32"/>
    <x v="232"/>
    <n v="0"/>
  </r>
  <r>
    <x v="233"/>
    <d v="2028-12-03T00:00:00"/>
    <s v="2028"/>
    <x v="8"/>
    <s v="Anitha"/>
    <x v="1"/>
    <x v="5"/>
    <x v="2"/>
    <x v="14"/>
    <n v="3"/>
    <n v="899"/>
    <n v="0.1"/>
    <n v="1787.94"/>
    <x v="0"/>
    <n v="2697"/>
    <n v="269.7"/>
    <x v="32"/>
    <x v="233"/>
    <n v="0"/>
  </r>
  <r>
    <x v="234"/>
    <d v="2028-12-04T00:00:00"/>
    <s v="2028"/>
    <x v="8"/>
    <s v="Shahina"/>
    <x v="0"/>
    <x v="2"/>
    <x v="3"/>
    <x v="8"/>
    <n v="1"/>
    <n v="1199"/>
    <n v="0.2"/>
    <n v="807.89"/>
    <x v="4"/>
    <n v="1199"/>
    <n v="239.8"/>
    <x v="32"/>
    <x v="234"/>
    <n v="0"/>
  </r>
  <r>
    <x v="235"/>
    <d v="2028-12-05T00:00:00"/>
    <s v="2028"/>
    <x v="8"/>
    <s v="Meena"/>
    <x v="0"/>
    <x v="4"/>
    <x v="3"/>
    <x v="16"/>
    <n v="4"/>
    <n v="999"/>
    <n v="0.1"/>
    <n v="2973.07"/>
    <x v="4"/>
    <n v="3996"/>
    <n v="399.6"/>
    <x v="32"/>
    <x v="235"/>
    <n v="0"/>
  </r>
  <r>
    <x v="236"/>
    <d v="2028-12-06T00:00:00"/>
    <s v="2028"/>
    <x v="8"/>
    <s v="Priya"/>
    <x v="0"/>
    <x v="0"/>
    <x v="0"/>
    <x v="12"/>
    <n v="1"/>
    <n v="55"/>
    <n v="0"/>
    <n v="33.35"/>
    <x v="0"/>
    <n v="55"/>
    <n v="0"/>
    <x v="32"/>
    <x v="236"/>
    <n v="0"/>
  </r>
  <r>
    <x v="237"/>
    <d v="2028-12-07T00:00:00"/>
    <s v="2028"/>
    <x v="8"/>
    <s v="Meena"/>
    <x v="0"/>
    <x v="4"/>
    <x v="3"/>
    <x v="16"/>
    <n v="5"/>
    <n v="999"/>
    <n v="0"/>
    <n v="3064.64"/>
    <x v="2"/>
    <n v="4995"/>
    <n v="0"/>
    <x v="32"/>
    <x v="237"/>
    <n v="0"/>
  </r>
  <r>
    <x v="238"/>
    <d v="2028-12-08T00:00:00"/>
    <s v="2028"/>
    <x v="8"/>
    <s v="Vijay"/>
    <x v="0"/>
    <x v="5"/>
    <x v="3"/>
    <x v="8"/>
    <n v="4"/>
    <n v="1199"/>
    <n v="0.2"/>
    <n v="3100.54"/>
    <x v="3"/>
    <n v="4796"/>
    <n v="959.2"/>
    <x v="32"/>
    <x v="238"/>
    <n v="0"/>
  </r>
  <r>
    <x v="239"/>
    <d v="2028-12-09T00:00:00"/>
    <s v="2028"/>
    <x v="8"/>
    <s v="Vijay"/>
    <x v="1"/>
    <x v="2"/>
    <x v="0"/>
    <x v="17"/>
    <n v="8"/>
    <n v="180"/>
    <n v="0.15"/>
    <n v="834.6"/>
    <x v="4"/>
    <n v="1440"/>
    <n v="216"/>
    <x v="32"/>
    <x v="239"/>
    <n v="0"/>
  </r>
  <r>
    <x v="240"/>
    <d v="2028-12-10T00:00:00"/>
    <s v="2028"/>
    <x v="8"/>
    <s v="Shahina"/>
    <x v="1"/>
    <x v="2"/>
    <x v="2"/>
    <x v="15"/>
    <n v="4"/>
    <n v="499"/>
    <n v="0.05"/>
    <n v="1107.51"/>
    <x v="0"/>
    <n v="1996"/>
    <n v="99.800000000000011"/>
    <x v="32"/>
    <x v="240"/>
    <n v="0"/>
  </r>
  <r>
    <x v="241"/>
    <d v="2028-12-11T00:00:00"/>
    <s v="2028"/>
    <x v="8"/>
    <s v="Suresh"/>
    <x v="1"/>
    <x v="2"/>
    <x v="3"/>
    <x v="3"/>
    <n v="6"/>
    <n v="1599"/>
    <n v="0.05"/>
    <n v="6369.95"/>
    <x v="2"/>
    <n v="9594"/>
    <n v="479.70000000000005"/>
    <x v="32"/>
    <x v="241"/>
    <n v="0"/>
  </r>
  <r>
    <x v="242"/>
    <d v="2028-12-12T00:00:00"/>
    <s v="2028"/>
    <x v="8"/>
    <s v="Meena"/>
    <x v="1"/>
    <x v="2"/>
    <x v="2"/>
    <x v="14"/>
    <n v="8"/>
    <n v="899"/>
    <n v="0.05"/>
    <n v="5536.63"/>
    <x v="3"/>
    <n v="7192"/>
    <n v="359.6"/>
    <x v="32"/>
    <x v="242"/>
    <n v="0"/>
  </r>
  <r>
    <x v="243"/>
    <d v="2028-12-13T00:00:00"/>
    <s v="2028"/>
    <x v="8"/>
    <s v="Kumar"/>
    <x v="1"/>
    <x v="1"/>
    <x v="1"/>
    <x v="9"/>
    <n v="1"/>
    <n v="1299"/>
    <n v="0"/>
    <n v="1082.79"/>
    <x v="1"/>
    <n v="1299"/>
    <n v="0"/>
    <x v="32"/>
    <x v="243"/>
    <n v="0"/>
  </r>
  <r>
    <x v="244"/>
    <d v="2028-12-14T00:00:00"/>
    <s v="2028"/>
    <x v="8"/>
    <s v="Anitha"/>
    <x v="0"/>
    <x v="5"/>
    <x v="3"/>
    <x v="4"/>
    <n v="3"/>
    <n v="799"/>
    <n v="0"/>
    <n v="1475.63"/>
    <x v="4"/>
    <n v="2397"/>
    <n v="0"/>
    <x v="32"/>
    <x v="244"/>
    <n v="0"/>
  </r>
  <r>
    <x v="245"/>
    <d v="2028-12-15T00:00:00"/>
    <s v="2028"/>
    <x v="8"/>
    <s v="Arun"/>
    <x v="1"/>
    <x v="5"/>
    <x v="2"/>
    <x v="15"/>
    <n v="1"/>
    <n v="499"/>
    <n v="0.2"/>
    <n v="357.03"/>
    <x v="1"/>
    <n v="499"/>
    <n v="99.800000000000011"/>
    <x v="32"/>
    <x v="245"/>
    <n v="0"/>
  </r>
  <r>
    <x v="246"/>
    <d v="2028-12-16T00:00:00"/>
    <s v="2028"/>
    <x v="8"/>
    <s v="Meena"/>
    <x v="1"/>
    <x v="3"/>
    <x v="0"/>
    <x v="13"/>
    <n v="7"/>
    <n v="650"/>
    <n v="0.05"/>
    <n v="2648.58"/>
    <x v="1"/>
    <n v="4550"/>
    <n v="227.5"/>
    <x v="32"/>
    <x v="246"/>
    <n v="0"/>
  </r>
  <r>
    <x v="247"/>
    <d v="2028-12-17T00:00:00"/>
    <s v="2028"/>
    <x v="8"/>
    <s v="Kumar"/>
    <x v="0"/>
    <x v="1"/>
    <x v="0"/>
    <x v="17"/>
    <n v="5"/>
    <n v="180"/>
    <n v="0.15"/>
    <n v="516.34"/>
    <x v="4"/>
    <n v="900"/>
    <n v="135"/>
    <x v="32"/>
    <x v="247"/>
    <n v="0"/>
  </r>
  <r>
    <x v="248"/>
    <d v="2028-12-18T00:00:00"/>
    <s v="2028"/>
    <x v="8"/>
    <s v="Suresh"/>
    <x v="0"/>
    <x v="5"/>
    <x v="3"/>
    <x v="16"/>
    <n v="2"/>
    <n v="999"/>
    <n v="0"/>
    <n v="1154.94"/>
    <x v="4"/>
    <n v="1998"/>
    <n v="0"/>
    <x v="32"/>
    <x v="248"/>
    <n v="0"/>
  </r>
  <r>
    <x v="249"/>
    <d v="2028-12-19T00:00:00"/>
    <s v="2028"/>
    <x v="8"/>
    <s v="Meena"/>
    <x v="1"/>
    <x v="0"/>
    <x v="1"/>
    <x v="11"/>
    <n v="2"/>
    <n v="899"/>
    <n v="0.15"/>
    <n v="1444.87"/>
    <x v="3"/>
    <n v="1798"/>
    <n v="269.7"/>
    <x v="32"/>
    <x v="249"/>
    <n v="0"/>
  </r>
  <r>
    <x v="250"/>
    <d v="2028-12-20T00:00:00"/>
    <s v="2028"/>
    <x v="8"/>
    <s v="Priya"/>
    <x v="0"/>
    <x v="1"/>
    <x v="3"/>
    <x v="18"/>
    <n v="8"/>
    <n v="1999"/>
    <n v="0.1"/>
    <n v="9018.99"/>
    <x v="1"/>
    <n v="15992"/>
    <n v="1599.2"/>
    <x v="32"/>
    <x v="250"/>
    <n v="0"/>
  </r>
  <r>
    <x v="251"/>
    <d v="2028-12-21T00:00:00"/>
    <s v="2028"/>
    <x v="8"/>
    <s v="Divya"/>
    <x v="0"/>
    <x v="1"/>
    <x v="0"/>
    <x v="13"/>
    <n v="4"/>
    <n v="650"/>
    <n v="0.2"/>
    <n v="1542.47"/>
    <x v="4"/>
    <n v="2600"/>
    <n v="520"/>
    <x v="32"/>
    <x v="251"/>
    <n v="0"/>
  </r>
  <r>
    <x v="252"/>
    <d v="2028-12-22T00:00:00"/>
    <s v="2028"/>
    <x v="8"/>
    <s v="Divya"/>
    <x v="0"/>
    <x v="3"/>
    <x v="3"/>
    <x v="18"/>
    <n v="7"/>
    <n v="1999"/>
    <n v="0.2"/>
    <n v="9088.7199999999993"/>
    <x v="2"/>
    <n v="13993"/>
    <n v="2798.6000000000004"/>
    <x v="32"/>
    <x v="252"/>
    <n v="0"/>
  </r>
  <r>
    <x v="253"/>
    <d v="2028-12-23T00:00:00"/>
    <s v="2028"/>
    <x v="8"/>
    <s v="Priya"/>
    <x v="1"/>
    <x v="0"/>
    <x v="1"/>
    <x v="19"/>
    <n v="4"/>
    <n v="299"/>
    <n v="0"/>
    <n v="780"/>
    <x v="0"/>
    <n v="1196"/>
    <n v="0"/>
    <x v="32"/>
    <x v="253"/>
    <n v="0"/>
  </r>
  <r>
    <x v="254"/>
    <d v="2028-12-24T00:00:00"/>
    <s v="2028"/>
    <x v="8"/>
    <s v="Anitha"/>
    <x v="1"/>
    <x v="0"/>
    <x v="0"/>
    <x v="12"/>
    <n v="8"/>
    <n v="55"/>
    <n v="0.05"/>
    <n v="288.97000000000003"/>
    <x v="4"/>
    <n v="440"/>
    <n v="22"/>
    <x v="32"/>
    <x v="254"/>
    <n v="0"/>
  </r>
  <r>
    <x v="255"/>
    <d v="2028-12-25T00:00:00"/>
    <s v="2028"/>
    <x v="8"/>
    <s v="Kumar"/>
    <x v="1"/>
    <x v="0"/>
    <x v="0"/>
    <x v="0"/>
    <n v="2"/>
    <n v="420"/>
    <n v="0"/>
    <n v="529.53"/>
    <x v="4"/>
    <n v="840"/>
    <n v="0"/>
    <x v="32"/>
    <x v="255"/>
    <n v="0"/>
  </r>
  <r>
    <x v="256"/>
    <d v="2028-12-26T00:00:00"/>
    <s v="2028"/>
    <x v="8"/>
    <s v="Kumar"/>
    <x v="1"/>
    <x v="2"/>
    <x v="0"/>
    <x v="13"/>
    <n v="2"/>
    <n v="650"/>
    <n v="0"/>
    <n v="1082.75"/>
    <x v="4"/>
    <n v="1300"/>
    <n v="0"/>
    <x v="32"/>
    <x v="256"/>
    <n v="0"/>
  </r>
  <r>
    <x v="257"/>
    <d v="2028-12-27T00:00:00"/>
    <s v="2028"/>
    <x v="8"/>
    <s v="Divya"/>
    <x v="0"/>
    <x v="1"/>
    <x v="1"/>
    <x v="11"/>
    <n v="7"/>
    <n v="899"/>
    <n v="0.15"/>
    <n v="4512.68"/>
    <x v="0"/>
    <n v="6293"/>
    <n v="943.94999999999993"/>
    <x v="32"/>
    <x v="257"/>
    <n v="0"/>
  </r>
  <r>
    <x v="258"/>
    <d v="2028-12-28T00:00:00"/>
    <s v="2028"/>
    <x v="8"/>
    <s v="Priya"/>
    <x v="0"/>
    <x v="0"/>
    <x v="0"/>
    <x v="10"/>
    <n v="2"/>
    <n v="240"/>
    <n v="0.2"/>
    <n v="350.12"/>
    <x v="3"/>
    <n v="480"/>
    <n v="96"/>
    <x v="32"/>
    <x v="258"/>
    <n v="0"/>
  </r>
  <r>
    <x v="259"/>
    <d v="2028-12-29T00:00:00"/>
    <s v="2028"/>
    <x v="8"/>
    <s v="Arun"/>
    <x v="1"/>
    <x v="4"/>
    <x v="2"/>
    <x v="15"/>
    <n v="4"/>
    <n v="499"/>
    <n v="0.2"/>
    <n v="1409.84"/>
    <x v="4"/>
    <n v="1996"/>
    <n v="399.20000000000005"/>
    <x v="32"/>
    <x v="259"/>
    <n v="0"/>
  </r>
  <r>
    <x v="260"/>
    <d v="2028-12-30T00:00:00"/>
    <s v="2028"/>
    <x v="8"/>
    <s v="Kumar"/>
    <x v="1"/>
    <x v="2"/>
    <x v="0"/>
    <x v="12"/>
    <n v="3"/>
    <n v="55"/>
    <n v="0"/>
    <n v="99.03"/>
    <x v="3"/>
    <n v="165"/>
    <n v="0"/>
    <x v="32"/>
    <x v="260"/>
    <n v="0"/>
  </r>
  <r>
    <x v="261"/>
    <d v="2028-12-31T00:00:00"/>
    <s v="2028"/>
    <x v="8"/>
    <s v="Divya"/>
    <x v="1"/>
    <x v="0"/>
    <x v="0"/>
    <x v="17"/>
    <n v="4"/>
    <n v="180"/>
    <n v="0.15"/>
    <n v="524.26"/>
    <x v="2"/>
    <n v="720"/>
    <n v="108"/>
    <x v="32"/>
    <x v="261"/>
    <n v="0"/>
  </r>
  <r>
    <x v="262"/>
    <d v="2029-01-01T00:00:00"/>
    <s v="2029"/>
    <x v="9"/>
    <s v="Priya"/>
    <x v="0"/>
    <x v="2"/>
    <x v="1"/>
    <x v="19"/>
    <n v="6"/>
    <n v="299"/>
    <n v="0.2"/>
    <n v="1191.1600000000001"/>
    <x v="3"/>
    <n v="1794"/>
    <n v="358.8"/>
    <x v="32"/>
    <x v="262"/>
    <n v="0"/>
  </r>
  <r>
    <x v="263"/>
    <d v="2029-01-02T00:00:00"/>
    <s v="2029"/>
    <x v="9"/>
    <s v="Rahul"/>
    <x v="1"/>
    <x v="5"/>
    <x v="3"/>
    <x v="16"/>
    <n v="6"/>
    <n v="999"/>
    <n v="0.2"/>
    <n v="5000.1000000000004"/>
    <x v="2"/>
    <n v="5994"/>
    <n v="1198.8"/>
    <x v="32"/>
    <x v="263"/>
    <n v="0"/>
  </r>
  <r>
    <x v="264"/>
    <d v="2029-01-03T00:00:00"/>
    <s v="2029"/>
    <x v="9"/>
    <s v="Rahul"/>
    <x v="0"/>
    <x v="4"/>
    <x v="0"/>
    <x v="17"/>
    <n v="8"/>
    <n v="180"/>
    <n v="0.2"/>
    <n v="1129.81"/>
    <x v="3"/>
    <n v="1440"/>
    <n v="288"/>
    <x v="32"/>
    <x v="264"/>
    <n v="0"/>
  </r>
  <r>
    <x v="265"/>
    <d v="2029-01-04T00:00:00"/>
    <s v="2029"/>
    <x v="9"/>
    <s v="Divya"/>
    <x v="1"/>
    <x v="2"/>
    <x v="1"/>
    <x v="9"/>
    <n v="4"/>
    <n v="1299"/>
    <n v="0.2"/>
    <n v="4412.34"/>
    <x v="2"/>
    <n v="5196"/>
    <n v="1039.2"/>
    <x v="32"/>
    <x v="265"/>
    <n v="0"/>
  </r>
  <r>
    <x v="266"/>
    <d v="2029-01-05T00:00:00"/>
    <s v="2029"/>
    <x v="9"/>
    <s v="Meena"/>
    <x v="0"/>
    <x v="6"/>
    <x v="2"/>
    <x v="7"/>
    <n v="8"/>
    <n v="1299"/>
    <n v="0.1"/>
    <n v="8307.2000000000007"/>
    <x v="1"/>
    <n v="10392"/>
    <n v="1039.2"/>
    <x v="32"/>
    <x v="266"/>
    <n v="0"/>
  </r>
  <r>
    <x v="267"/>
    <d v="2029-01-06T00:00:00"/>
    <s v="2029"/>
    <x v="9"/>
    <s v="Vijay"/>
    <x v="0"/>
    <x v="5"/>
    <x v="0"/>
    <x v="0"/>
    <n v="5"/>
    <n v="420"/>
    <n v="0.05"/>
    <n v="1605.6"/>
    <x v="4"/>
    <n v="2100"/>
    <n v="105"/>
    <x v="32"/>
    <x v="267"/>
    <n v="0"/>
  </r>
  <r>
    <x v="268"/>
    <d v="2029-01-07T00:00:00"/>
    <s v="2029"/>
    <x v="9"/>
    <s v="Vijay"/>
    <x v="1"/>
    <x v="3"/>
    <x v="2"/>
    <x v="2"/>
    <n v="7"/>
    <n v="1499"/>
    <n v="0.2"/>
    <n v="5886.88"/>
    <x v="3"/>
    <n v="10493"/>
    <n v="2098.6"/>
    <x v="32"/>
    <x v="268"/>
    <n v="0"/>
  </r>
  <r>
    <x v="269"/>
    <d v="2029-01-08T00:00:00"/>
    <s v="2029"/>
    <x v="9"/>
    <s v="Meena"/>
    <x v="0"/>
    <x v="0"/>
    <x v="3"/>
    <x v="16"/>
    <n v="3"/>
    <n v="999"/>
    <n v="0.2"/>
    <n v="1688.18"/>
    <x v="4"/>
    <n v="2997"/>
    <n v="599.4"/>
    <x v="32"/>
    <x v="269"/>
    <n v="0"/>
  </r>
  <r>
    <x v="270"/>
    <d v="2029-01-09T00:00:00"/>
    <s v="2029"/>
    <x v="9"/>
    <s v="Anitha"/>
    <x v="0"/>
    <x v="0"/>
    <x v="1"/>
    <x v="6"/>
    <n v="4"/>
    <n v="1499"/>
    <n v="0.2"/>
    <n v="4641.24"/>
    <x v="0"/>
    <n v="5996"/>
    <n v="1199.2"/>
    <x v="32"/>
    <x v="270"/>
    <n v="0"/>
  </r>
  <r>
    <x v="271"/>
    <d v="2029-01-10T00:00:00"/>
    <s v="2029"/>
    <x v="9"/>
    <s v="Suresh"/>
    <x v="0"/>
    <x v="4"/>
    <x v="0"/>
    <x v="12"/>
    <n v="8"/>
    <n v="55"/>
    <n v="0.2"/>
    <n v="333.14"/>
    <x v="2"/>
    <n v="440"/>
    <n v="88"/>
    <x v="32"/>
    <x v="271"/>
    <n v="0"/>
  </r>
  <r>
    <x v="272"/>
    <d v="2029-01-11T00:00:00"/>
    <s v="2029"/>
    <x v="9"/>
    <s v="Arun"/>
    <x v="1"/>
    <x v="0"/>
    <x v="0"/>
    <x v="12"/>
    <n v="2"/>
    <n v="55"/>
    <n v="0"/>
    <n v="87.93"/>
    <x v="2"/>
    <n v="110"/>
    <n v="0"/>
    <x v="32"/>
    <x v="272"/>
    <n v="0"/>
  </r>
  <r>
    <x v="273"/>
    <d v="2029-01-12T00:00:00"/>
    <s v="2029"/>
    <x v="9"/>
    <s v="Divya"/>
    <x v="1"/>
    <x v="4"/>
    <x v="3"/>
    <x v="18"/>
    <n v="8"/>
    <n v="1999"/>
    <n v="0.1"/>
    <n v="11080.04"/>
    <x v="4"/>
    <n v="15992"/>
    <n v="1599.2"/>
    <x v="32"/>
    <x v="273"/>
    <n v="0"/>
  </r>
  <r>
    <x v="274"/>
    <d v="2029-01-13T00:00:00"/>
    <s v="2029"/>
    <x v="9"/>
    <s v="Vijay"/>
    <x v="1"/>
    <x v="0"/>
    <x v="0"/>
    <x v="13"/>
    <n v="2"/>
    <n v="650"/>
    <n v="0"/>
    <n v="1046.18"/>
    <x v="1"/>
    <n v="1300"/>
    <n v="0"/>
    <x v="32"/>
    <x v="274"/>
    <n v="0"/>
  </r>
  <r>
    <x v="275"/>
    <d v="2029-01-14T00:00:00"/>
    <s v="2029"/>
    <x v="9"/>
    <s v="Kumar"/>
    <x v="0"/>
    <x v="3"/>
    <x v="3"/>
    <x v="18"/>
    <n v="3"/>
    <n v="1999"/>
    <n v="0.1"/>
    <n v="4305.57"/>
    <x v="4"/>
    <n v="5997"/>
    <n v="599.70000000000005"/>
    <x v="32"/>
    <x v="275"/>
    <n v="0"/>
  </r>
  <r>
    <x v="276"/>
    <d v="2029-01-15T00:00:00"/>
    <s v="2029"/>
    <x v="9"/>
    <s v="Anitha"/>
    <x v="0"/>
    <x v="1"/>
    <x v="2"/>
    <x v="14"/>
    <n v="1"/>
    <n v="899"/>
    <n v="0.2"/>
    <n v="732.62"/>
    <x v="4"/>
    <n v="899"/>
    <n v="179.8"/>
    <x v="32"/>
    <x v="276"/>
    <n v="0"/>
  </r>
  <r>
    <x v="277"/>
    <d v="2029-01-16T00:00:00"/>
    <s v="2029"/>
    <x v="9"/>
    <s v="Anitha"/>
    <x v="1"/>
    <x v="0"/>
    <x v="3"/>
    <x v="3"/>
    <n v="5"/>
    <n v="1599"/>
    <n v="0"/>
    <n v="5782.02"/>
    <x v="0"/>
    <n v="7995"/>
    <n v="0"/>
    <x v="32"/>
    <x v="277"/>
    <n v="0"/>
  </r>
  <r>
    <x v="278"/>
    <d v="2029-01-17T00:00:00"/>
    <s v="2029"/>
    <x v="9"/>
    <s v="Rahul"/>
    <x v="1"/>
    <x v="1"/>
    <x v="2"/>
    <x v="15"/>
    <n v="5"/>
    <n v="499"/>
    <n v="0.15"/>
    <n v="1767.24"/>
    <x v="3"/>
    <n v="2495"/>
    <n v="374.25"/>
    <x v="32"/>
    <x v="278"/>
    <n v="0"/>
  </r>
  <r>
    <x v="279"/>
    <d v="2029-01-18T00:00:00"/>
    <s v="2029"/>
    <x v="9"/>
    <s v="Anitha"/>
    <x v="1"/>
    <x v="3"/>
    <x v="1"/>
    <x v="6"/>
    <n v="6"/>
    <n v="1499"/>
    <n v="0.15"/>
    <n v="6612.47"/>
    <x v="3"/>
    <n v="8994"/>
    <n v="1349.1"/>
    <x v="32"/>
    <x v="279"/>
    <n v="0"/>
  </r>
  <r>
    <x v="280"/>
    <d v="2029-01-19T00:00:00"/>
    <s v="2029"/>
    <x v="9"/>
    <s v="Suresh"/>
    <x v="0"/>
    <x v="5"/>
    <x v="3"/>
    <x v="16"/>
    <n v="2"/>
    <n v="999"/>
    <n v="0.05"/>
    <n v="1281.94"/>
    <x v="2"/>
    <n v="1998"/>
    <n v="99.9"/>
    <x v="32"/>
    <x v="280"/>
    <n v="0"/>
  </r>
  <r>
    <x v="281"/>
    <d v="2029-01-20T00:00:00"/>
    <s v="2029"/>
    <x v="9"/>
    <s v="Kumar"/>
    <x v="1"/>
    <x v="4"/>
    <x v="3"/>
    <x v="18"/>
    <n v="7"/>
    <n v="1999"/>
    <n v="0.15"/>
    <n v="8475.93"/>
    <x v="0"/>
    <n v="13993"/>
    <n v="2098.9499999999998"/>
    <x v="32"/>
    <x v="281"/>
    <n v="0"/>
  </r>
  <r>
    <x v="282"/>
    <d v="2029-01-21T00:00:00"/>
    <s v="2029"/>
    <x v="9"/>
    <s v="Kumar"/>
    <x v="0"/>
    <x v="4"/>
    <x v="0"/>
    <x v="0"/>
    <n v="3"/>
    <n v="420"/>
    <n v="0.1"/>
    <n v="1011.27"/>
    <x v="0"/>
    <n v="1260"/>
    <n v="126"/>
    <x v="32"/>
    <x v="282"/>
    <n v="0"/>
  </r>
  <r>
    <x v="283"/>
    <d v="2029-01-22T00:00:00"/>
    <s v="2029"/>
    <x v="9"/>
    <s v="Rahul"/>
    <x v="0"/>
    <x v="4"/>
    <x v="3"/>
    <x v="3"/>
    <n v="7"/>
    <n v="1599"/>
    <n v="0.2"/>
    <n v="7853.36"/>
    <x v="4"/>
    <n v="11193"/>
    <n v="2238.6"/>
    <x v="32"/>
    <x v="283"/>
    <n v="0"/>
  </r>
  <r>
    <x v="284"/>
    <d v="2029-01-23T00:00:00"/>
    <s v="2029"/>
    <x v="9"/>
    <s v="Vijay"/>
    <x v="1"/>
    <x v="5"/>
    <x v="2"/>
    <x v="14"/>
    <n v="3"/>
    <n v="899"/>
    <n v="0"/>
    <n v="1940.81"/>
    <x v="2"/>
    <n v="2697"/>
    <n v="0"/>
    <x v="32"/>
    <x v="284"/>
    <n v="0"/>
  </r>
  <r>
    <x v="285"/>
    <d v="2029-01-24T00:00:00"/>
    <s v="2029"/>
    <x v="9"/>
    <s v="Arun"/>
    <x v="1"/>
    <x v="1"/>
    <x v="0"/>
    <x v="0"/>
    <n v="8"/>
    <n v="420"/>
    <n v="0.2"/>
    <n v="2596.46"/>
    <x v="4"/>
    <n v="3360"/>
    <n v="672"/>
    <x v="32"/>
    <x v="285"/>
    <n v="0"/>
  </r>
  <r>
    <x v="286"/>
    <d v="2029-01-25T00:00:00"/>
    <s v="2029"/>
    <x v="9"/>
    <s v="Meena"/>
    <x v="0"/>
    <x v="3"/>
    <x v="1"/>
    <x v="6"/>
    <n v="6"/>
    <n v="1499"/>
    <n v="0.2"/>
    <n v="7166.27"/>
    <x v="1"/>
    <n v="8994"/>
    <n v="1798.8000000000002"/>
    <x v="32"/>
    <x v="286"/>
    <n v="0"/>
  </r>
  <r>
    <x v="287"/>
    <d v="2029-01-26T00:00:00"/>
    <s v="2029"/>
    <x v="9"/>
    <s v="Meena"/>
    <x v="0"/>
    <x v="4"/>
    <x v="1"/>
    <x v="11"/>
    <n v="5"/>
    <n v="899"/>
    <n v="0"/>
    <n v="3078.71"/>
    <x v="3"/>
    <n v="4495"/>
    <n v="0"/>
    <x v="32"/>
    <x v="287"/>
    <n v="0"/>
  </r>
  <r>
    <x v="288"/>
    <d v="2029-01-27T00:00:00"/>
    <s v="2029"/>
    <x v="9"/>
    <s v="Vijay"/>
    <x v="0"/>
    <x v="1"/>
    <x v="3"/>
    <x v="18"/>
    <n v="6"/>
    <n v="1999"/>
    <n v="0.2"/>
    <n v="8873.5400000000009"/>
    <x v="2"/>
    <n v="11994"/>
    <n v="2398.8000000000002"/>
    <x v="32"/>
    <x v="288"/>
    <n v="0"/>
  </r>
  <r>
    <x v="289"/>
    <d v="2029-01-28T00:00:00"/>
    <s v="2029"/>
    <x v="9"/>
    <s v="Kumar"/>
    <x v="0"/>
    <x v="1"/>
    <x v="1"/>
    <x v="9"/>
    <n v="6"/>
    <n v="1299"/>
    <n v="0.2"/>
    <n v="4943.93"/>
    <x v="0"/>
    <n v="7794"/>
    <n v="1558.8000000000002"/>
    <x v="32"/>
    <x v="289"/>
    <n v="0"/>
  </r>
  <r>
    <x v="290"/>
    <d v="2029-01-29T00:00:00"/>
    <s v="2029"/>
    <x v="9"/>
    <s v="Rahul"/>
    <x v="1"/>
    <x v="2"/>
    <x v="0"/>
    <x v="10"/>
    <n v="2"/>
    <n v="240"/>
    <n v="0.05"/>
    <n v="402.64"/>
    <x v="4"/>
    <n v="480"/>
    <n v="24"/>
    <x v="32"/>
    <x v="290"/>
    <n v="0"/>
  </r>
  <r>
    <x v="291"/>
    <d v="2029-01-30T00:00:00"/>
    <s v="2029"/>
    <x v="9"/>
    <s v="Divya"/>
    <x v="0"/>
    <x v="5"/>
    <x v="3"/>
    <x v="3"/>
    <n v="3"/>
    <n v="1599"/>
    <n v="0.1"/>
    <n v="3830.62"/>
    <x v="4"/>
    <n v="4797"/>
    <n v="479.70000000000005"/>
    <x v="32"/>
    <x v="291"/>
    <n v="0"/>
  </r>
  <r>
    <x v="292"/>
    <d v="2029-01-31T00:00:00"/>
    <s v="2029"/>
    <x v="9"/>
    <s v="Kumar"/>
    <x v="1"/>
    <x v="5"/>
    <x v="2"/>
    <x v="14"/>
    <n v="8"/>
    <n v="899"/>
    <n v="0"/>
    <n v="5322.72"/>
    <x v="1"/>
    <n v="7192"/>
    <n v="0"/>
    <x v="32"/>
    <x v="292"/>
    <n v="0"/>
  </r>
  <r>
    <x v="293"/>
    <d v="2029-02-01T00:00:00"/>
    <s v="2029"/>
    <x v="10"/>
    <s v="Meena"/>
    <x v="1"/>
    <x v="5"/>
    <x v="0"/>
    <x v="12"/>
    <n v="8"/>
    <n v="55"/>
    <n v="0.1"/>
    <n v="318.82"/>
    <x v="1"/>
    <n v="440"/>
    <n v="44"/>
    <x v="32"/>
    <x v="293"/>
    <n v="0"/>
  </r>
  <r>
    <x v="294"/>
    <d v="2029-02-02T00:00:00"/>
    <s v="2029"/>
    <x v="10"/>
    <s v="Rahul"/>
    <x v="0"/>
    <x v="3"/>
    <x v="2"/>
    <x v="7"/>
    <n v="7"/>
    <n v="1299"/>
    <n v="0.05"/>
    <n v="6350.68"/>
    <x v="3"/>
    <n v="9093"/>
    <n v="454.65000000000003"/>
    <x v="32"/>
    <x v="294"/>
    <n v="0"/>
  </r>
  <r>
    <x v="295"/>
    <d v="2029-02-03T00:00:00"/>
    <s v="2029"/>
    <x v="10"/>
    <s v="Rahul"/>
    <x v="0"/>
    <x v="3"/>
    <x v="2"/>
    <x v="5"/>
    <n v="1"/>
    <n v="699"/>
    <n v="0"/>
    <n v="405.33"/>
    <x v="4"/>
    <n v="699"/>
    <n v="0"/>
    <x v="32"/>
    <x v="295"/>
    <n v="0"/>
  </r>
  <r>
    <x v="296"/>
    <d v="2029-02-04T00:00:00"/>
    <s v="2029"/>
    <x v="10"/>
    <s v="Priya"/>
    <x v="0"/>
    <x v="4"/>
    <x v="2"/>
    <x v="15"/>
    <n v="7"/>
    <n v="499"/>
    <n v="0.05"/>
    <n v="2964.54"/>
    <x v="2"/>
    <n v="3493"/>
    <n v="174.65"/>
    <x v="32"/>
    <x v="296"/>
    <n v="0"/>
  </r>
  <r>
    <x v="297"/>
    <d v="2029-02-05T00:00:00"/>
    <s v="2029"/>
    <x v="10"/>
    <s v="Divya"/>
    <x v="0"/>
    <x v="2"/>
    <x v="1"/>
    <x v="6"/>
    <n v="5"/>
    <n v="1499"/>
    <n v="0"/>
    <n v="4958.34"/>
    <x v="2"/>
    <n v="7495"/>
    <n v="0"/>
    <x v="32"/>
    <x v="297"/>
    <n v="0"/>
  </r>
  <r>
    <x v="298"/>
    <d v="2029-02-06T00:00:00"/>
    <s v="2029"/>
    <x v="10"/>
    <s v="Anitha"/>
    <x v="1"/>
    <x v="5"/>
    <x v="3"/>
    <x v="8"/>
    <n v="2"/>
    <n v="1199"/>
    <n v="0"/>
    <n v="1319.68"/>
    <x v="4"/>
    <n v="2398"/>
    <n v="0"/>
    <x v="32"/>
    <x v="298"/>
    <n v="0"/>
  </r>
  <r>
    <x v="299"/>
    <d v="2029-02-07T00:00:00"/>
    <s v="2029"/>
    <x v="10"/>
    <s v="Kumar"/>
    <x v="0"/>
    <x v="3"/>
    <x v="2"/>
    <x v="15"/>
    <n v="1"/>
    <n v="499"/>
    <n v="0.1"/>
    <n v="396.77"/>
    <x v="4"/>
    <n v="499"/>
    <n v="49.900000000000006"/>
    <x v="32"/>
    <x v="299"/>
    <n v="0"/>
  </r>
  <r>
    <x v="300"/>
    <d v="2029-02-08T00:00:00"/>
    <s v="2029"/>
    <x v="10"/>
    <s v="Kumar"/>
    <x v="1"/>
    <x v="0"/>
    <x v="3"/>
    <x v="8"/>
    <n v="2"/>
    <n v="1199"/>
    <n v="0"/>
    <n v="1393.14"/>
    <x v="3"/>
    <n v="2398"/>
    <n v="0"/>
    <x v="32"/>
    <x v="300"/>
    <n v="0"/>
  </r>
  <r>
    <x v="301"/>
    <d v="2029-02-09T00:00:00"/>
    <s v="2029"/>
    <x v="10"/>
    <s v="Kumar"/>
    <x v="1"/>
    <x v="1"/>
    <x v="3"/>
    <x v="4"/>
    <n v="1"/>
    <n v="799"/>
    <n v="0.2"/>
    <n v="595.26"/>
    <x v="4"/>
    <n v="799"/>
    <n v="159.80000000000001"/>
    <x v="32"/>
    <x v="301"/>
    <n v="0"/>
  </r>
  <r>
    <x v="302"/>
    <d v="2029-02-10T00:00:00"/>
    <s v="2029"/>
    <x v="10"/>
    <s v="Shahina"/>
    <x v="0"/>
    <x v="4"/>
    <x v="2"/>
    <x v="7"/>
    <n v="2"/>
    <n v="1299"/>
    <n v="0"/>
    <n v="1538.03"/>
    <x v="1"/>
    <n v="2598"/>
    <n v="0"/>
    <x v="32"/>
    <x v="302"/>
    <n v="0"/>
  </r>
  <r>
    <x v="303"/>
    <d v="2029-02-11T00:00:00"/>
    <s v="2029"/>
    <x v="10"/>
    <s v="Anitha"/>
    <x v="1"/>
    <x v="4"/>
    <x v="0"/>
    <x v="0"/>
    <n v="4"/>
    <n v="420"/>
    <n v="0.1"/>
    <n v="1248.8900000000001"/>
    <x v="2"/>
    <n v="1680"/>
    <n v="168"/>
    <x v="32"/>
    <x v="303"/>
    <n v="0"/>
  </r>
  <r>
    <x v="304"/>
    <d v="2029-02-12T00:00:00"/>
    <s v="2029"/>
    <x v="10"/>
    <s v="Suresh"/>
    <x v="1"/>
    <x v="5"/>
    <x v="1"/>
    <x v="6"/>
    <n v="4"/>
    <n v="1499"/>
    <n v="0.2"/>
    <n v="4389.54"/>
    <x v="2"/>
    <n v="5996"/>
    <n v="1199.2"/>
    <x v="32"/>
    <x v="304"/>
    <n v="0"/>
  </r>
  <r>
    <x v="305"/>
    <d v="2029-02-13T00:00:00"/>
    <s v="2029"/>
    <x v="10"/>
    <s v="Divya"/>
    <x v="0"/>
    <x v="1"/>
    <x v="2"/>
    <x v="14"/>
    <n v="2"/>
    <n v="899"/>
    <n v="0.05"/>
    <n v="1258.3699999999999"/>
    <x v="0"/>
    <n v="1798"/>
    <n v="89.9"/>
    <x v="32"/>
    <x v="305"/>
    <n v="0"/>
  </r>
  <r>
    <x v="306"/>
    <d v="2029-02-14T00:00:00"/>
    <s v="2029"/>
    <x v="10"/>
    <s v="Meena"/>
    <x v="0"/>
    <x v="2"/>
    <x v="0"/>
    <x v="0"/>
    <n v="7"/>
    <n v="420"/>
    <n v="0.2"/>
    <n v="1988.2"/>
    <x v="0"/>
    <n v="2940"/>
    <n v="588"/>
    <x v="32"/>
    <x v="306"/>
    <n v="0"/>
  </r>
  <r>
    <x v="307"/>
    <d v="2029-02-15T00:00:00"/>
    <s v="2029"/>
    <x v="10"/>
    <s v="Kumar"/>
    <x v="1"/>
    <x v="0"/>
    <x v="1"/>
    <x v="9"/>
    <n v="2"/>
    <n v="1299"/>
    <n v="0"/>
    <n v="1633.25"/>
    <x v="1"/>
    <n v="2598"/>
    <n v="0"/>
    <x v="32"/>
    <x v="307"/>
    <n v="0"/>
  </r>
  <r>
    <x v="308"/>
    <d v="2029-02-16T00:00:00"/>
    <s v="2029"/>
    <x v="10"/>
    <s v="Anitha"/>
    <x v="1"/>
    <x v="5"/>
    <x v="2"/>
    <x v="14"/>
    <n v="7"/>
    <n v="899"/>
    <n v="0"/>
    <n v="4670.42"/>
    <x v="0"/>
    <n v="6293"/>
    <n v="0"/>
    <x v="32"/>
    <x v="308"/>
    <n v="0"/>
  </r>
  <r>
    <x v="309"/>
    <d v="2029-02-17T00:00:00"/>
    <s v="2029"/>
    <x v="10"/>
    <s v="Kumar"/>
    <x v="1"/>
    <x v="0"/>
    <x v="0"/>
    <x v="13"/>
    <n v="4"/>
    <n v="650"/>
    <n v="0.05"/>
    <n v="1848.38"/>
    <x v="4"/>
    <n v="2600"/>
    <n v="130"/>
    <x v="32"/>
    <x v="309"/>
    <n v="0"/>
  </r>
  <r>
    <x v="310"/>
    <d v="2029-02-18T00:00:00"/>
    <s v="2029"/>
    <x v="10"/>
    <s v="Priya"/>
    <x v="1"/>
    <x v="5"/>
    <x v="2"/>
    <x v="7"/>
    <n v="1"/>
    <n v="1299"/>
    <n v="0.05"/>
    <n v="748.05"/>
    <x v="4"/>
    <n v="1299"/>
    <n v="64.95"/>
    <x v="32"/>
    <x v="310"/>
    <n v="0"/>
  </r>
  <r>
    <x v="311"/>
    <d v="2029-02-19T00:00:00"/>
    <s v="2029"/>
    <x v="10"/>
    <s v="Vijay"/>
    <x v="0"/>
    <x v="2"/>
    <x v="3"/>
    <x v="4"/>
    <n v="1"/>
    <n v="799"/>
    <n v="0.05"/>
    <n v="607.6"/>
    <x v="2"/>
    <n v="799"/>
    <n v="39.950000000000003"/>
    <x v="32"/>
    <x v="311"/>
    <n v="0"/>
  </r>
  <r>
    <x v="312"/>
    <d v="2029-02-20T00:00:00"/>
    <s v="2029"/>
    <x v="10"/>
    <s v="Rahul"/>
    <x v="1"/>
    <x v="1"/>
    <x v="0"/>
    <x v="0"/>
    <n v="5"/>
    <n v="420"/>
    <n v="0"/>
    <n v="1641"/>
    <x v="1"/>
    <n v="2100"/>
    <n v="0"/>
    <x v="32"/>
    <x v="312"/>
    <n v="0"/>
  </r>
  <r>
    <x v="313"/>
    <d v="2029-02-21T00:00:00"/>
    <s v="2029"/>
    <x v="10"/>
    <s v="Anitha"/>
    <x v="1"/>
    <x v="3"/>
    <x v="1"/>
    <x v="6"/>
    <n v="2"/>
    <n v="1499"/>
    <n v="0.15"/>
    <n v="2058.3000000000002"/>
    <x v="3"/>
    <n v="2998"/>
    <n v="449.7"/>
    <x v="32"/>
    <x v="313"/>
    <n v="0"/>
  </r>
  <r>
    <x v="314"/>
    <d v="2029-02-22T00:00:00"/>
    <s v="2029"/>
    <x v="10"/>
    <s v="Vijay"/>
    <x v="0"/>
    <x v="2"/>
    <x v="3"/>
    <x v="16"/>
    <n v="2"/>
    <n v="999"/>
    <n v="0.2"/>
    <n v="1502.97"/>
    <x v="1"/>
    <n v="1998"/>
    <n v="399.6"/>
    <x v="32"/>
    <x v="314"/>
    <n v="0"/>
  </r>
  <r>
    <x v="315"/>
    <d v="2029-02-23T00:00:00"/>
    <s v="2029"/>
    <x v="10"/>
    <s v="Meena"/>
    <x v="0"/>
    <x v="0"/>
    <x v="1"/>
    <x v="11"/>
    <n v="1"/>
    <n v="899"/>
    <n v="0.15"/>
    <n v="592.61"/>
    <x v="2"/>
    <n v="899"/>
    <n v="134.85"/>
    <x v="32"/>
    <x v="315"/>
    <n v="0"/>
  </r>
  <r>
    <x v="316"/>
    <d v="2029-02-24T00:00:00"/>
    <s v="2029"/>
    <x v="10"/>
    <s v="Arun"/>
    <x v="1"/>
    <x v="1"/>
    <x v="0"/>
    <x v="0"/>
    <n v="7"/>
    <n v="420"/>
    <n v="0.1"/>
    <n v="1856.25"/>
    <x v="1"/>
    <n v="2940"/>
    <n v="294"/>
    <x v="32"/>
    <x v="316"/>
    <n v="0"/>
  </r>
  <r>
    <x v="317"/>
    <d v="2029-02-25T00:00:00"/>
    <s v="2029"/>
    <x v="10"/>
    <s v="Rahul"/>
    <x v="0"/>
    <x v="3"/>
    <x v="1"/>
    <x v="11"/>
    <n v="4"/>
    <n v="899"/>
    <n v="0.2"/>
    <n v="3036.55"/>
    <x v="4"/>
    <n v="3596"/>
    <n v="719.2"/>
    <x v="32"/>
    <x v="317"/>
    <n v="0"/>
  </r>
  <r>
    <x v="318"/>
    <d v="2029-02-26T00:00:00"/>
    <s v="2029"/>
    <x v="10"/>
    <s v="Vijay"/>
    <x v="1"/>
    <x v="2"/>
    <x v="0"/>
    <x v="13"/>
    <n v="8"/>
    <n v="650"/>
    <n v="0"/>
    <n v="3435.51"/>
    <x v="3"/>
    <n v="5200"/>
    <n v="0"/>
    <x v="32"/>
    <x v="318"/>
    <n v="0"/>
  </r>
  <r>
    <x v="319"/>
    <d v="2029-02-27T00:00:00"/>
    <s v="2029"/>
    <x v="10"/>
    <s v="Divya"/>
    <x v="0"/>
    <x v="4"/>
    <x v="0"/>
    <x v="10"/>
    <n v="8"/>
    <n v="240"/>
    <n v="0.05"/>
    <n v="1477.9"/>
    <x v="0"/>
    <n v="1920"/>
    <n v="96"/>
    <x v="32"/>
    <x v="319"/>
    <n v="0"/>
  </r>
  <r>
    <x v="320"/>
    <d v="2029-02-28T00:00:00"/>
    <s v="2029"/>
    <x v="10"/>
    <s v="Kumar"/>
    <x v="0"/>
    <x v="4"/>
    <x v="1"/>
    <x v="11"/>
    <n v="6"/>
    <n v="899"/>
    <n v="0"/>
    <n v="4505.59"/>
    <x v="1"/>
    <n v="5394"/>
    <n v="0"/>
    <x v="32"/>
    <x v="320"/>
    <n v="0"/>
  </r>
  <r>
    <x v="321"/>
    <d v="2029-03-01T00:00:00"/>
    <s v="2029"/>
    <x v="11"/>
    <s v="Anitha"/>
    <x v="1"/>
    <x v="0"/>
    <x v="3"/>
    <x v="18"/>
    <n v="4"/>
    <n v="1999"/>
    <n v="0.15"/>
    <n v="5578.08"/>
    <x v="1"/>
    <n v="7996"/>
    <n v="1199.3999999999999"/>
    <x v="32"/>
    <x v="321"/>
    <n v="0"/>
  </r>
  <r>
    <x v="322"/>
    <d v="2029-03-02T00:00:00"/>
    <s v="2029"/>
    <x v="11"/>
    <s v="Divya"/>
    <x v="0"/>
    <x v="0"/>
    <x v="3"/>
    <x v="18"/>
    <n v="7"/>
    <n v="1999"/>
    <n v="0.1"/>
    <n v="9620.7099999999991"/>
    <x v="1"/>
    <n v="13993"/>
    <n v="1399.3000000000002"/>
    <x v="32"/>
    <x v="322"/>
    <n v="0"/>
  </r>
  <r>
    <x v="323"/>
    <d v="2029-03-03T00:00:00"/>
    <s v="2029"/>
    <x v="11"/>
    <s v="Priya"/>
    <x v="0"/>
    <x v="5"/>
    <x v="2"/>
    <x v="15"/>
    <n v="1"/>
    <n v="499"/>
    <n v="0.15"/>
    <n v="373.62"/>
    <x v="2"/>
    <n v="499"/>
    <n v="74.849999999999994"/>
    <x v="32"/>
    <x v="323"/>
    <n v="0"/>
  </r>
  <r>
    <x v="324"/>
    <d v="2029-03-04T00:00:00"/>
    <s v="2029"/>
    <x v="11"/>
    <s v="Divya"/>
    <x v="1"/>
    <x v="2"/>
    <x v="2"/>
    <x v="5"/>
    <n v="6"/>
    <n v="699"/>
    <n v="0.15"/>
    <n v="2648.87"/>
    <x v="1"/>
    <n v="4194"/>
    <n v="629.1"/>
    <x v="32"/>
    <x v="324"/>
    <n v="0"/>
  </r>
  <r>
    <x v="325"/>
    <d v="2029-03-05T00:00:00"/>
    <s v="2029"/>
    <x v="11"/>
    <s v="Kumar"/>
    <x v="0"/>
    <x v="1"/>
    <x v="1"/>
    <x v="11"/>
    <n v="8"/>
    <n v="899"/>
    <n v="0.15"/>
    <n v="4633.16"/>
    <x v="1"/>
    <n v="7192"/>
    <n v="1078.8"/>
    <x v="32"/>
    <x v="325"/>
    <n v="0"/>
  </r>
  <r>
    <x v="326"/>
    <d v="2029-03-06T00:00:00"/>
    <s v="2029"/>
    <x v="11"/>
    <s v="Rahul"/>
    <x v="0"/>
    <x v="4"/>
    <x v="0"/>
    <x v="12"/>
    <n v="5"/>
    <n v="55"/>
    <n v="0"/>
    <n v="158.71"/>
    <x v="3"/>
    <n v="275"/>
    <n v="0"/>
    <x v="32"/>
    <x v="326"/>
    <n v="0"/>
  </r>
  <r>
    <x v="327"/>
    <d v="2029-03-07T00:00:00"/>
    <s v="2029"/>
    <x v="11"/>
    <s v="Suresh"/>
    <x v="0"/>
    <x v="1"/>
    <x v="0"/>
    <x v="0"/>
    <n v="2"/>
    <n v="420"/>
    <n v="0.05"/>
    <n v="706.04"/>
    <x v="4"/>
    <n v="840"/>
    <n v="42"/>
    <x v="32"/>
    <x v="327"/>
    <n v="0"/>
  </r>
  <r>
    <x v="328"/>
    <d v="2029-03-08T00:00:00"/>
    <s v="2029"/>
    <x v="11"/>
    <s v="Arun"/>
    <x v="1"/>
    <x v="2"/>
    <x v="3"/>
    <x v="4"/>
    <n v="7"/>
    <n v="799"/>
    <n v="0.15"/>
    <n v="4008.98"/>
    <x v="0"/>
    <n v="5593"/>
    <n v="838.94999999999993"/>
    <x v="32"/>
    <x v="328"/>
    <n v="0"/>
  </r>
  <r>
    <x v="329"/>
    <d v="2029-03-09T00:00:00"/>
    <s v="2029"/>
    <x v="11"/>
    <s v="Priya"/>
    <x v="1"/>
    <x v="0"/>
    <x v="3"/>
    <x v="4"/>
    <n v="1"/>
    <n v="799"/>
    <n v="0"/>
    <n v="638.49"/>
    <x v="2"/>
    <n v="799"/>
    <n v="0"/>
    <x v="32"/>
    <x v="329"/>
    <n v="0"/>
  </r>
  <r>
    <x v="330"/>
    <d v="2029-03-10T00:00:00"/>
    <s v="2029"/>
    <x v="11"/>
    <s v="Shahina"/>
    <x v="1"/>
    <x v="2"/>
    <x v="1"/>
    <x v="9"/>
    <n v="5"/>
    <n v="1299"/>
    <n v="0"/>
    <n v="3614.73"/>
    <x v="1"/>
    <n v="6495"/>
    <n v="0"/>
    <x v="32"/>
    <x v="330"/>
    <n v="0"/>
  </r>
  <r>
    <x v="331"/>
    <d v="2029-03-11T00:00:00"/>
    <s v="2029"/>
    <x v="11"/>
    <s v="Vijay"/>
    <x v="0"/>
    <x v="0"/>
    <x v="0"/>
    <x v="13"/>
    <n v="1"/>
    <n v="650"/>
    <n v="0.15"/>
    <n v="367.37"/>
    <x v="0"/>
    <n v="650"/>
    <n v="97.5"/>
    <x v="32"/>
    <x v="331"/>
    <n v="0"/>
  </r>
  <r>
    <x v="332"/>
    <d v="2029-03-12T00:00:00"/>
    <s v="2029"/>
    <x v="11"/>
    <s v="Anitha"/>
    <x v="1"/>
    <x v="0"/>
    <x v="2"/>
    <x v="14"/>
    <n v="3"/>
    <n v="899"/>
    <n v="0.1"/>
    <n v="1657.08"/>
    <x v="2"/>
    <n v="2697"/>
    <n v="269.7"/>
    <x v="32"/>
    <x v="332"/>
    <n v="0"/>
  </r>
  <r>
    <x v="333"/>
    <d v="2029-03-13T00:00:00"/>
    <s v="2029"/>
    <x v="11"/>
    <s v="Divya"/>
    <x v="1"/>
    <x v="1"/>
    <x v="1"/>
    <x v="9"/>
    <n v="4"/>
    <n v="1299"/>
    <n v="0.1"/>
    <n v="3635.47"/>
    <x v="0"/>
    <n v="5196"/>
    <n v="519.6"/>
    <x v="32"/>
    <x v="333"/>
    <n v="0"/>
  </r>
  <r>
    <x v="334"/>
    <d v="2029-03-14T00:00:00"/>
    <s v="2029"/>
    <x v="11"/>
    <s v="Arun"/>
    <x v="0"/>
    <x v="2"/>
    <x v="2"/>
    <x v="7"/>
    <n v="7"/>
    <n v="1299"/>
    <n v="0.05"/>
    <n v="6754.24"/>
    <x v="0"/>
    <n v="9093"/>
    <n v="454.65000000000003"/>
    <x v="32"/>
    <x v="334"/>
    <n v="0"/>
  </r>
  <r>
    <x v="335"/>
    <d v="2029-03-15T00:00:00"/>
    <s v="2029"/>
    <x v="11"/>
    <s v="Meena"/>
    <x v="0"/>
    <x v="4"/>
    <x v="0"/>
    <x v="12"/>
    <n v="8"/>
    <n v="55"/>
    <n v="0.1"/>
    <n v="362.47"/>
    <x v="0"/>
    <n v="440"/>
    <n v="44"/>
    <x v="32"/>
    <x v="335"/>
    <n v="0"/>
  </r>
  <r>
    <x v="336"/>
    <d v="2029-03-16T00:00:00"/>
    <s v="2029"/>
    <x v="11"/>
    <s v="Anitha"/>
    <x v="1"/>
    <x v="1"/>
    <x v="1"/>
    <x v="6"/>
    <n v="4"/>
    <n v="1499"/>
    <n v="0"/>
    <n v="4909.1000000000004"/>
    <x v="3"/>
    <n v="5996"/>
    <n v="0"/>
    <x v="32"/>
    <x v="336"/>
    <n v="0"/>
  </r>
  <r>
    <x v="337"/>
    <d v="2029-03-17T00:00:00"/>
    <s v="2029"/>
    <x v="11"/>
    <s v="Vijay"/>
    <x v="1"/>
    <x v="3"/>
    <x v="3"/>
    <x v="3"/>
    <n v="2"/>
    <n v="1599"/>
    <n v="0.05"/>
    <n v="2389.1"/>
    <x v="3"/>
    <n v="3198"/>
    <n v="159.9"/>
    <x v="32"/>
    <x v="337"/>
    <n v="0"/>
  </r>
  <r>
    <x v="338"/>
    <d v="2029-03-18T00:00:00"/>
    <s v="2029"/>
    <x v="11"/>
    <s v="Arun"/>
    <x v="0"/>
    <x v="3"/>
    <x v="2"/>
    <x v="5"/>
    <n v="3"/>
    <n v="699"/>
    <n v="0.05"/>
    <n v="1302.1600000000001"/>
    <x v="3"/>
    <n v="2097"/>
    <n v="104.85000000000001"/>
    <x v="32"/>
    <x v="338"/>
    <n v="0"/>
  </r>
  <r>
    <x v="339"/>
    <d v="2029-03-19T00:00:00"/>
    <s v="2029"/>
    <x v="11"/>
    <s v="Rahul"/>
    <x v="0"/>
    <x v="5"/>
    <x v="0"/>
    <x v="10"/>
    <n v="3"/>
    <n v="240"/>
    <n v="0.2"/>
    <n v="600.85"/>
    <x v="4"/>
    <n v="720"/>
    <n v="144"/>
    <x v="32"/>
    <x v="339"/>
    <n v="0"/>
  </r>
  <r>
    <x v="340"/>
    <d v="2029-03-20T00:00:00"/>
    <s v="2029"/>
    <x v="11"/>
    <s v="Divya"/>
    <x v="0"/>
    <x v="4"/>
    <x v="1"/>
    <x v="1"/>
    <n v="1"/>
    <n v="599"/>
    <n v="0.05"/>
    <n v="437.57"/>
    <x v="1"/>
    <n v="599"/>
    <n v="29.950000000000003"/>
    <x v="32"/>
    <x v="340"/>
    <n v="0"/>
  </r>
  <r>
    <x v="341"/>
    <d v="2029-03-21T00:00:00"/>
    <s v="2029"/>
    <x v="11"/>
    <s v="Vijay"/>
    <x v="0"/>
    <x v="2"/>
    <x v="3"/>
    <x v="3"/>
    <n v="6"/>
    <n v="1599"/>
    <n v="0.05"/>
    <n v="7921.13"/>
    <x v="3"/>
    <n v="9594"/>
    <n v="479.70000000000005"/>
    <x v="32"/>
    <x v="341"/>
    <n v="0"/>
  </r>
  <r>
    <x v="342"/>
    <d v="2029-03-22T00:00:00"/>
    <s v="2029"/>
    <x v="11"/>
    <s v="Arun"/>
    <x v="0"/>
    <x v="3"/>
    <x v="3"/>
    <x v="4"/>
    <n v="6"/>
    <n v="799"/>
    <n v="0"/>
    <n v="3174"/>
    <x v="4"/>
    <n v="4794"/>
    <n v="0"/>
    <x v="32"/>
    <x v="342"/>
    <n v="0"/>
  </r>
  <r>
    <x v="343"/>
    <d v="2029-03-23T00:00:00"/>
    <s v="2029"/>
    <x v="11"/>
    <s v="Priya"/>
    <x v="1"/>
    <x v="2"/>
    <x v="0"/>
    <x v="0"/>
    <n v="3"/>
    <n v="420"/>
    <n v="0.15"/>
    <n v="992.32"/>
    <x v="4"/>
    <n v="1260"/>
    <n v="189"/>
    <x v="32"/>
    <x v="343"/>
    <n v="0"/>
  </r>
  <r>
    <x v="344"/>
    <d v="2029-03-24T00:00:00"/>
    <s v="2029"/>
    <x v="11"/>
    <s v="Rahul"/>
    <x v="0"/>
    <x v="5"/>
    <x v="0"/>
    <x v="0"/>
    <n v="3"/>
    <n v="420"/>
    <n v="0.15"/>
    <n v="808.98"/>
    <x v="3"/>
    <n v="1260"/>
    <n v="189"/>
    <x v="32"/>
    <x v="344"/>
    <n v="0"/>
  </r>
  <r>
    <x v="345"/>
    <d v="2029-03-25T00:00:00"/>
    <s v="2029"/>
    <x v="11"/>
    <s v="Kumar"/>
    <x v="0"/>
    <x v="5"/>
    <x v="2"/>
    <x v="2"/>
    <n v="1"/>
    <n v="1499"/>
    <n v="0.05"/>
    <n v="1095.3399999999999"/>
    <x v="0"/>
    <n v="1499"/>
    <n v="74.95"/>
    <x v="32"/>
    <x v="345"/>
    <n v="0"/>
  </r>
  <r>
    <x v="346"/>
    <d v="2029-03-26T00:00:00"/>
    <s v="2029"/>
    <x v="11"/>
    <s v="Suresh"/>
    <x v="0"/>
    <x v="4"/>
    <x v="3"/>
    <x v="16"/>
    <n v="2"/>
    <n v="999"/>
    <n v="0.05"/>
    <n v="1306.78"/>
    <x v="3"/>
    <n v="1998"/>
    <n v="99.9"/>
    <x v="32"/>
    <x v="346"/>
    <n v="0"/>
  </r>
  <r>
    <x v="347"/>
    <d v="2029-03-27T00:00:00"/>
    <s v="2029"/>
    <x v="11"/>
    <s v="Priya"/>
    <x v="1"/>
    <x v="4"/>
    <x v="1"/>
    <x v="6"/>
    <n v="4"/>
    <n v="1499"/>
    <n v="0.05"/>
    <n v="4544.6899999999996"/>
    <x v="3"/>
    <n v="5996"/>
    <n v="299.8"/>
    <x v="32"/>
    <x v="347"/>
    <n v="0"/>
  </r>
  <r>
    <x v="348"/>
    <d v="2029-03-28T00:00:00"/>
    <s v="2029"/>
    <x v="11"/>
    <s v="Priya"/>
    <x v="0"/>
    <x v="0"/>
    <x v="2"/>
    <x v="14"/>
    <n v="7"/>
    <n v="899"/>
    <n v="0.05"/>
    <n v="5131.1000000000004"/>
    <x v="4"/>
    <n v="6293"/>
    <n v="314.65000000000003"/>
    <x v="32"/>
    <x v="348"/>
    <n v="0"/>
  </r>
  <r>
    <x v="349"/>
    <d v="2029-03-29T00:00:00"/>
    <s v="2029"/>
    <x v="11"/>
    <s v="Rahul"/>
    <x v="1"/>
    <x v="0"/>
    <x v="2"/>
    <x v="2"/>
    <n v="4"/>
    <n v="1499"/>
    <n v="0.05"/>
    <n v="4109.58"/>
    <x v="1"/>
    <n v="5996"/>
    <n v="299.8"/>
    <x v="32"/>
    <x v="349"/>
    <n v="0"/>
  </r>
  <r>
    <x v="350"/>
    <d v="2029-03-30T00:00:00"/>
    <s v="2029"/>
    <x v="11"/>
    <s v="Arun"/>
    <x v="1"/>
    <x v="2"/>
    <x v="1"/>
    <x v="1"/>
    <n v="6"/>
    <n v="599"/>
    <n v="0.05"/>
    <n v="2934.07"/>
    <x v="2"/>
    <n v="3594"/>
    <n v="179.70000000000002"/>
    <x v="32"/>
    <x v="350"/>
    <n v="0"/>
  </r>
  <r>
    <x v="351"/>
    <d v="2029-03-31T00:00:00"/>
    <s v="2029"/>
    <x v="11"/>
    <s v="Meena"/>
    <x v="0"/>
    <x v="2"/>
    <x v="2"/>
    <x v="15"/>
    <n v="7"/>
    <n v="499"/>
    <n v="0.05"/>
    <n v="2557.56"/>
    <x v="4"/>
    <n v="3493"/>
    <n v="174.65"/>
    <x v="32"/>
    <x v="351"/>
    <n v="0"/>
  </r>
  <r>
    <x v="352"/>
    <d v="2029-04-01T00:00:00"/>
    <s v="2029"/>
    <x v="0"/>
    <s v="Arun"/>
    <x v="0"/>
    <x v="2"/>
    <x v="3"/>
    <x v="3"/>
    <n v="7"/>
    <n v="1599"/>
    <n v="0.2"/>
    <n v="8580.68"/>
    <x v="0"/>
    <n v="11193"/>
    <n v="2238.6"/>
    <x v="32"/>
    <x v="352"/>
    <n v="0"/>
  </r>
  <r>
    <x v="353"/>
    <d v="2029-04-02T00:00:00"/>
    <s v="2029"/>
    <x v="0"/>
    <s v="Divya"/>
    <x v="1"/>
    <x v="1"/>
    <x v="1"/>
    <x v="1"/>
    <n v="7"/>
    <n v="599"/>
    <n v="0.2"/>
    <n v="2997.57"/>
    <x v="4"/>
    <n v="4193"/>
    <n v="838.6"/>
    <x v="32"/>
    <x v="353"/>
    <n v="0"/>
  </r>
  <r>
    <x v="354"/>
    <d v="2029-04-03T00:00:00"/>
    <s v="2029"/>
    <x v="0"/>
    <s v="Arun"/>
    <x v="1"/>
    <x v="0"/>
    <x v="2"/>
    <x v="15"/>
    <n v="5"/>
    <n v="499"/>
    <n v="0.2"/>
    <n v="1731.78"/>
    <x v="1"/>
    <n v="2495"/>
    <n v="499"/>
    <x v="32"/>
    <x v="354"/>
    <n v="0"/>
  </r>
  <r>
    <x v="355"/>
    <d v="2029-04-04T00:00:00"/>
    <s v="2029"/>
    <x v="0"/>
    <s v="Shahina"/>
    <x v="0"/>
    <x v="5"/>
    <x v="0"/>
    <x v="13"/>
    <n v="8"/>
    <n v="650"/>
    <n v="0"/>
    <n v="3341.03"/>
    <x v="4"/>
    <n v="5200"/>
    <n v="0"/>
    <x v="32"/>
    <x v="355"/>
    <n v="0"/>
  </r>
  <r>
    <x v="356"/>
    <d v="2029-04-05T00:00:00"/>
    <s v="2029"/>
    <x v="0"/>
    <s v="Vijay"/>
    <x v="1"/>
    <x v="0"/>
    <x v="2"/>
    <x v="7"/>
    <n v="6"/>
    <n v="1299"/>
    <n v="0.15"/>
    <n v="5150.43"/>
    <x v="4"/>
    <n v="7794"/>
    <n v="1169.0999999999999"/>
    <x v="32"/>
    <x v="356"/>
    <n v="0"/>
  </r>
  <r>
    <x v="357"/>
    <d v="2029-04-06T00:00:00"/>
    <s v="2029"/>
    <x v="0"/>
    <s v="Divya"/>
    <x v="1"/>
    <x v="4"/>
    <x v="0"/>
    <x v="0"/>
    <n v="5"/>
    <n v="420"/>
    <n v="0.2"/>
    <n v="1193.83"/>
    <x v="1"/>
    <n v="2100"/>
    <n v="420"/>
    <x v="32"/>
    <x v="357"/>
    <n v="0"/>
  </r>
  <r>
    <x v="358"/>
    <d v="2029-04-07T00:00:00"/>
    <s v="2029"/>
    <x v="0"/>
    <s v="Rahul"/>
    <x v="1"/>
    <x v="3"/>
    <x v="3"/>
    <x v="18"/>
    <n v="1"/>
    <n v="1999"/>
    <n v="0.15"/>
    <n v="1590.25"/>
    <x v="4"/>
    <n v="1999"/>
    <n v="299.84999999999997"/>
    <x v="32"/>
    <x v="358"/>
    <n v="0"/>
  </r>
  <r>
    <x v="359"/>
    <d v="2029-04-08T00:00:00"/>
    <s v="2029"/>
    <x v="0"/>
    <s v="Vijay"/>
    <x v="0"/>
    <x v="4"/>
    <x v="0"/>
    <x v="13"/>
    <n v="7"/>
    <n v="650"/>
    <n v="0"/>
    <n v="3187.87"/>
    <x v="0"/>
    <n v="4550"/>
    <n v="0"/>
    <x v="32"/>
    <x v="359"/>
    <n v="0"/>
  </r>
  <r>
    <x v="360"/>
    <d v="2029-04-09T00:00:00"/>
    <s v="2029"/>
    <x v="0"/>
    <s v="Suresh"/>
    <x v="0"/>
    <x v="0"/>
    <x v="2"/>
    <x v="7"/>
    <n v="3"/>
    <n v="1299"/>
    <n v="0.05"/>
    <n v="3088.52"/>
    <x v="2"/>
    <n v="3897"/>
    <n v="194.85000000000002"/>
    <x v="32"/>
    <x v="360"/>
    <n v="0"/>
  </r>
  <r>
    <x v="361"/>
    <d v="2029-04-10T00:00:00"/>
    <s v="2029"/>
    <x v="0"/>
    <s v="Anitha"/>
    <x v="0"/>
    <x v="5"/>
    <x v="2"/>
    <x v="7"/>
    <n v="3"/>
    <n v="1299"/>
    <n v="0.2"/>
    <n v="2444.84"/>
    <x v="1"/>
    <n v="3897"/>
    <n v="779.40000000000009"/>
    <x v="32"/>
    <x v="361"/>
    <n v="0"/>
  </r>
  <r>
    <x v="362"/>
    <d v="2029-04-11T00:00:00"/>
    <s v="2029"/>
    <x v="0"/>
    <s v="Anitha"/>
    <x v="1"/>
    <x v="3"/>
    <x v="0"/>
    <x v="17"/>
    <n v="8"/>
    <n v="180"/>
    <n v="0"/>
    <n v="1131.79"/>
    <x v="0"/>
    <n v="1440"/>
    <n v="0"/>
    <x v="32"/>
    <x v="362"/>
    <n v="0"/>
  </r>
  <r>
    <x v="363"/>
    <d v="2029-04-12T00:00:00"/>
    <s v="2029"/>
    <x v="0"/>
    <s v="Meena"/>
    <x v="1"/>
    <x v="0"/>
    <x v="2"/>
    <x v="7"/>
    <n v="3"/>
    <n v="1299"/>
    <n v="0.2"/>
    <n v="2830.7"/>
    <x v="1"/>
    <n v="3897"/>
    <n v="779.40000000000009"/>
    <x v="32"/>
    <x v="363"/>
    <n v="0"/>
  </r>
  <r>
    <x v="364"/>
    <d v="2029-04-13T00:00:00"/>
    <s v="2029"/>
    <x v="0"/>
    <s v="Suresh"/>
    <x v="0"/>
    <x v="2"/>
    <x v="0"/>
    <x v="12"/>
    <n v="5"/>
    <n v="55"/>
    <n v="0.15"/>
    <n v="205.27"/>
    <x v="0"/>
    <n v="275"/>
    <n v="41.25"/>
    <x v="32"/>
    <x v="364"/>
    <n v="0"/>
  </r>
  <r>
    <x v="365"/>
    <d v="2029-04-14T00:00:00"/>
    <s v="2029"/>
    <x v="0"/>
    <s v="Vijay"/>
    <x v="0"/>
    <x v="1"/>
    <x v="0"/>
    <x v="12"/>
    <n v="3"/>
    <n v="55"/>
    <n v="0.2"/>
    <n v="120.88"/>
    <x v="4"/>
    <n v="165"/>
    <n v="33"/>
    <x v="32"/>
    <x v="365"/>
    <n v="0"/>
  </r>
  <r>
    <x v="366"/>
    <d v="2029-04-15T00:00:00"/>
    <s v="2029"/>
    <x v="0"/>
    <s v="Anitha"/>
    <x v="1"/>
    <x v="5"/>
    <x v="3"/>
    <x v="4"/>
    <n v="8"/>
    <n v="799"/>
    <n v="0.1"/>
    <n v="5235.75"/>
    <x v="1"/>
    <n v="6392"/>
    <n v="639.20000000000005"/>
    <x v="32"/>
    <x v="366"/>
    <n v="0"/>
  </r>
  <r>
    <x v="367"/>
    <d v="2029-04-16T00:00:00"/>
    <s v="2029"/>
    <x v="0"/>
    <s v="Divya"/>
    <x v="1"/>
    <x v="2"/>
    <x v="2"/>
    <x v="15"/>
    <n v="4"/>
    <n v="499"/>
    <n v="0.05"/>
    <n v="1277.73"/>
    <x v="4"/>
    <n v="1996"/>
    <n v="99.800000000000011"/>
    <x v="32"/>
    <x v="367"/>
    <n v="0"/>
  </r>
  <r>
    <x v="368"/>
    <d v="2029-04-17T00:00:00"/>
    <s v="2029"/>
    <x v="0"/>
    <s v="Divya"/>
    <x v="1"/>
    <x v="3"/>
    <x v="1"/>
    <x v="11"/>
    <n v="8"/>
    <n v="899"/>
    <n v="0.05"/>
    <n v="5926.42"/>
    <x v="4"/>
    <n v="7192"/>
    <n v="359.6"/>
    <x v="32"/>
    <x v="368"/>
    <n v="0"/>
  </r>
  <r>
    <x v="369"/>
    <d v="2029-04-18T00:00:00"/>
    <s v="2029"/>
    <x v="0"/>
    <s v="Meena"/>
    <x v="1"/>
    <x v="0"/>
    <x v="3"/>
    <x v="4"/>
    <n v="5"/>
    <n v="799"/>
    <n v="0.2"/>
    <n v="2680.71"/>
    <x v="0"/>
    <n v="3995"/>
    <n v="799"/>
    <x v="32"/>
    <x v="369"/>
    <n v="0"/>
  </r>
  <r>
    <x v="370"/>
    <d v="2029-04-19T00:00:00"/>
    <s v="2029"/>
    <x v="0"/>
    <s v="Arun"/>
    <x v="0"/>
    <x v="1"/>
    <x v="3"/>
    <x v="4"/>
    <n v="4"/>
    <n v="799"/>
    <n v="0"/>
    <n v="2195.44"/>
    <x v="3"/>
    <n v="3196"/>
    <n v="0"/>
    <x v="32"/>
    <x v="370"/>
    <n v="0"/>
  </r>
  <r>
    <x v="371"/>
    <d v="2029-04-20T00:00:00"/>
    <s v="2029"/>
    <x v="0"/>
    <s v="Shahina"/>
    <x v="1"/>
    <x v="2"/>
    <x v="2"/>
    <x v="2"/>
    <n v="7"/>
    <n v="1499"/>
    <n v="0"/>
    <n v="7915.42"/>
    <x v="2"/>
    <n v="10493"/>
    <n v="0"/>
    <x v="32"/>
    <x v="371"/>
    <n v="0"/>
  </r>
  <r>
    <x v="372"/>
    <d v="2029-04-21T00:00:00"/>
    <s v="2029"/>
    <x v="0"/>
    <s v="Vijay"/>
    <x v="1"/>
    <x v="1"/>
    <x v="2"/>
    <x v="2"/>
    <n v="6"/>
    <n v="1499"/>
    <n v="0.1"/>
    <n v="5387.89"/>
    <x v="3"/>
    <n v="8994"/>
    <n v="899.40000000000009"/>
    <x v="32"/>
    <x v="372"/>
    <n v="0"/>
  </r>
  <r>
    <x v="373"/>
    <d v="2029-04-22T00:00:00"/>
    <s v="2029"/>
    <x v="0"/>
    <s v="Priya"/>
    <x v="1"/>
    <x v="0"/>
    <x v="2"/>
    <x v="15"/>
    <n v="3"/>
    <n v="499"/>
    <n v="0.2"/>
    <n v="1173.57"/>
    <x v="2"/>
    <n v="1497"/>
    <n v="299.40000000000003"/>
    <x v="32"/>
    <x v="373"/>
    <n v="0"/>
  </r>
  <r>
    <x v="374"/>
    <d v="2029-04-23T00:00:00"/>
    <s v="2029"/>
    <x v="0"/>
    <s v="Shahina"/>
    <x v="0"/>
    <x v="2"/>
    <x v="2"/>
    <x v="2"/>
    <n v="1"/>
    <n v="1499"/>
    <n v="0"/>
    <n v="1037.6500000000001"/>
    <x v="2"/>
    <n v="1499"/>
    <n v="0"/>
    <x v="32"/>
    <x v="374"/>
    <n v="0"/>
  </r>
  <r>
    <x v="375"/>
    <d v="2029-04-24T00:00:00"/>
    <s v="2029"/>
    <x v="0"/>
    <s v="Kumar"/>
    <x v="0"/>
    <x v="1"/>
    <x v="0"/>
    <x v="10"/>
    <n v="5"/>
    <n v="240"/>
    <n v="0.1"/>
    <n v="812.57"/>
    <x v="4"/>
    <n v="1200"/>
    <n v="120"/>
    <x v="32"/>
    <x v="375"/>
    <n v="0"/>
  </r>
  <r>
    <x v="376"/>
    <d v="2029-04-25T00:00:00"/>
    <s v="2029"/>
    <x v="0"/>
    <s v="Vijay"/>
    <x v="1"/>
    <x v="1"/>
    <x v="2"/>
    <x v="5"/>
    <n v="7"/>
    <n v="699"/>
    <n v="0.2"/>
    <n v="2841.33"/>
    <x v="0"/>
    <n v="4893"/>
    <n v="978.6"/>
    <x v="32"/>
    <x v="376"/>
    <n v="0"/>
  </r>
  <r>
    <x v="377"/>
    <d v="2029-04-26T00:00:00"/>
    <s v="2029"/>
    <x v="0"/>
    <s v="Rahul"/>
    <x v="1"/>
    <x v="2"/>
    <x v="1"/>
    <x v="19"/>
    <n v="2"/>
    <n v="299"/>
    <n v="0.1"/>
    <n v="506.21"/>
    <x v="3"/>
    <n v="598"/>
    <n v="59.800000000000004"/>
    <x v="32"/>
    <x v="377"/>
    <n v="0"/>
  </r>
  <r>
    <x v="378"/>
    <d v="2029-04-27T00:00:00"/>
    <s v="2029"/>
    <x v="0"/>
    <s v="Divya"/>
    <x v="1"/>
    <x v="1"/>
    <x v="3"/>
    <x v="18"/>
    <n v="4"/>
    <n v="1999"/>
    <n v="0"/>
    <n v="6329.87"/>
    <x v="0"/>
    <n v="7996"/>
    <n v="0"/>
    <x v="32"/>
    <x v="378"/>
    <n v="0"/>
  </r>
  <r>
    <x v="379"/>
    <d v="2029-04-28T00:00:00"/>
    <s v="2029"/>
    <x v="0"/>
    <s v="Rahul"/>
    <x v="0"/>
    <x v="5"/>
    <x v="1"/>
    <x v="19"/>
    <n v="5"/>
    <n v="299"/>
    <n v="0.1"/>
    <n v="1229"/>
    <x v="4"/>
    <n v="1495"/>
    <n v="149.5"/>
    <x v="32"/>
    <x v="379"/>
    <n v="0"/>
  </r>
  <r>
    <x v="380"/>
    <d v="2029-04-29T00:00:00"/>
    <s v="2029"/>
    <x v="0"/>
    <s v="Arun"/>
    <x v="0"/>
    <x v="2"/>
    <x v="3"/>
    <x v="18"/>
    <n v="8"/>
    <n v="1999"/>
    <n v="0.1"/>
    <n v="11229.49"/>
    <x v="2"/>
    <n v="15992"/>
    <n v="1599.2"/>
    <x v="32"/>
    <x v="380"/>
    <n v="0"/>
  </r>
  <r>
    <x v="381"/>
    <d v="2029-04-30T00:00:00"/>
    <s v="2029"/>
    <x v="0"/>
    <s v="Meena"/>
    <x v="0"/>
    <x v="2"/>
    <x v="1"/>
    <x v="19"/>
    <n v="3"/>
    <n v="299"/>
    <n v="0.1"/>
    <n v="688.5"/>
    <x v="0"/>
    <n v="897"/>
    <n v="89.7"/>
    <x v="32"/>
    <x v="381"/>
    <n v="0"/>
  </r>
  <r>
    <x v="382"/>
    <d v="2029-05-01T00:00:00"/>
    <s v="2029"/>
    <x v="1"/>
    <s v="Rahul"/>
    <x v="0"/>
    <x v="1"/>
    <x v="0"/>
    <x v="0"/>
    <n v="5"/>
    <n v="420"/>
    <n v="0.15"/>
    <n v="1651.5"/>
    <x v="3"/>
    <n v="2100"/>
    <n v="315"/>
    <x v="32"/>
    <x v="382"/>
    <n v="0"/>
  </r>
  <r>
    <x v="383"/>
    <d v="2029-05-02T00:00:00"/>
    <s v="2029"/>
    <x v="1"/>
    <s v="Divya"/>
    <x v="1"/>
    <x v="4"/>
    <x v="1"/>
    <x v="19"/>
    <n v="1"/>
    <n v="299"/>
    <n v="0.2"/>
    <n v="216.5"/>
    <x v="0"/>
    <n v="299"/>
    <n v="59.800000000000004"/>
    <x v="32"/>
    <x v="383"/>
    <n v="0"/>
  </r>
  <r>
    <x v="384"/>
    <d v="2029-05-03T00:00:00"/>
    <s v="2029"/>
    <x v="1"/>
    <s v="Vijay"/>
    <x v="0"/>
    <x v="3"/>
    <x v="1"/>
    <x v="19"/>
    <n v="5"/>
    <n v="299"/>
    <n v="0.15"/>
    <n v="846.5"/>
    <x v="2"/>
    <n v="1495"/>
    <n v="224.25"/>
    <x v="32"/>
    <x v="384"/>
    <n v="0"/>
  </r>
  <r>
    <x v="385"/>
    <d v="2029-05-04T00:00:00"/>
    <s v="2029"/>
    <x v="1"/>
    <s v="Shahina"/>
    <x v="1"/>
    <x v="4"/>
    <x v="2"/>
    <x v="7"/>
    <n v="6"/>
    <n v="1299"/>
    <n v="0.05"/>
    <n v="6108.02"/>
    <x v="4"/>
    <n v="7794"/>
    <n v="389.70000000000005"/>
    <x v="32"/>
    <x v="385"/>
    <n v="0"/>
  </r>
  <r>
    <x v="386"/>
    <d v="2029-05-05T00:00:00"/>
    <s v="2029"/>
    <x v="1"/>
    <s v="Kumar"/>
    <x v="1"/>
    <x v="5"/>
    <x v="1"/>
    <x v="1"/>
    <n v="8"/>
    <n v="599"/>
    <n v="0.1"/>
    <n v="2936.61"/>
    <x v="2"/>
    <n v="4792"/>
    <n v="479.20000000000005"/>
    <x v="32"/>
    <x v="386"/>
    <n v="0"/>
  </r>
  <r>
    <x v="387"/>
    <d v="2029-05-06T00:00:00"/>
    <s v="2029"/>
    <x v="1"/>
    <s v="Kumar"/>
    <x v="1"/>
    <x v="0"/>
    <x v="3"/>
    <x v="18"/>
    <n v="7"/>
    <n v="1999"/>
    <n v="0.15"/>
    <n v="9389.56"/>
    <x v="4"/>
    <n v="13993"/>
    <n v="2098.9499999999998"/>
    <x v="32"/>
    <x v="387"/>
    <n v="0"/>
  </r>
  <r>
    <x v="388"/>
    <d v="2029-05-07T00:00:00"/>
    <s v="2029"/>
    <x v="1"/>
    <s v="Arun"/>
    <x v="0"/>
    <x v="3"/>
    <x v="3"/>
    <x v="16"/>
    <n v="1"/>
    <n v="999"/>
    <n v="0.1"/>
    <n v="776.28"/>
    <x v="0"/>
    <n v="999"/>
    <n v="99.9"/>
    <x v="32"/>
    <x v="388"/>
    <n v="0"/>
  </r>
  <r>
    <x v="389"/>
    <d v="2029-05-08T00:00:00"/>
    <s v="2029"/>
    <x v="1"/>
    <s v="Arun"/>
    <x v="0"/>
    <x v="5"/>
    <x v="3"/>
    <x v="3"/>
    <n v="6"/>
    <n v="1599"/>
    <n v="0.1"/>
    <n v="5647.79"/>
    <x v="4"/>
    <n v="9594"/>
    <n v="959.40000000000009"/>
    <x v="32"/>
    <x v="389"/>
    <n v="0"/>
  </r>
  <r>
    <x v="390"/>
    <d v="2029-05-09T00:00:00"/>
    <s v="2029"/>
    <x v="1"/>
    <s v="Suresh"/>
    <x v="1"/>
    <x v="1"/>
    <x v="1"/>
    <x v="1"/>
    <n v="5"/>
    <n v="599"/>
    <n v="0.1"/>
    <n v="2056.9"/>
    <x v="0"/>
    <n v="2995"/>
    <n v="299.5"/>
    <x v="32"/>
    <x v="390"/>
    <n v="0"/>
  </r>
  <r>
    <x v="391"/>
    <d v="2029-05-10T00:00:00"/>
    <s v="2029"/>
    <x v="1"/>
    <s v="Meena"/>
    <x v="1"/>
    <x v="4"/>
    <x v="3"/>
    <x v="16"/>
    <n v="8"/>
    <n v="999"/>
    <n v="0.1"/>
    <n v="6194.08"/>
    <x v="2"/>
    <n v="7992"/>
    <n v="799.2"/>
    <x v="32"/>
    <x v="391"/>
    <n v="0"/>
  </r>
  <r>
    <x v="392"/>
    <d v="2029-05-11T00:00:00"/>
    <s v="2029"/>
    <x v="1"/>
    <s v="Arun"/>
    <x v="0"/>
    <x v="1"/>
    <x v="3"/>
    <x v="3"/>
    <n v="1"/>
    <n v="1599"/>
    <n v="0.2"/>
    <n v="1121.52"/>
    <x v="1"/>
    <n v="1599"/>
    <n v="319.8"/>
    <x v="32"/>
    <x v="392"/>
    <n v="0"/>
  </r>
  <r>
    <x v="393"/>
    <d v="2029-05-12T00:00:00"/>
    <s v="2029"/>
    <x v="1"/>
    <s v="Arun"/>
    <x v="1"/>
    <x v="5"/>
    <x v="0"/>
    <x v="10"/>
    <n v="1"/>
    <n v="240"/>
    <n v="0.2"/>
    <n v="203.62"/>
    <x v="1"/>
    <n v="240"/>
    <n v="48"/>
    <x v="32"/>
    <x v="393"/>
    <n v="0"/>
  </r>
  <r>
    <x v="394"/>
    <d v="2029-05-13T00:00:00"/>
    <s v="2029"/>
    <x v="1"/>
    <s v="Arun"/>
    <x v="0"/>
    <x v="5"/>
    <x v="1"/>
    <x v="19"/>
    <n v="8"/>
    <n v="299"/>
    <n v="0.15"/>
    <n v="1404.29"/>
    <x v="3"/>
    <n v="2392"/>
    <n v="358.8"/>
    <x v="32"/>
    <x v="394"/>
    <n v="0"/>
  </r>
  <r>
    <x v="395"/>
    <d v="2029-05-14T00:00:00"/>
    <s v="2029"/>
    <x v="1"/>
    <s v="Kumar"/>
    <x v="0"/>
    <x v="5"/>
    <x v="1"/>
    <x v="6"/>
    <n v="7"/>
    <n v="1499"/>
    <n v="0"/>
    <n v="7856.58"/>
    <x v="3"/>
    <n v="10493"/>
    <n v="0"/>
    <x v="32"/>
    <x v="395"/>
    <n v="0"/>
  </r>
  <r>
    <x v="396"/>
    <d v="2029-05-15T00:00:00"/>
    <s v="2029"/>
    <x v="1"/>
    <s v="Suresh"/>
    <x v="0"/>
    <x v="4"/>
    <x v="1"/>
    <x v="9"/>
    <n v="2"/>
    <n v="1299"/>
    <n v="0.1"/>
    <n v="1517.76"/>
    <x v="1"/>
    <n v="2598"/>
    <n v="259.8"/>
    <x v="32"/>
    <x v="396"/>
    <n v="0"/>
  </r>
  <r>
    <x v="397"/>
    <d v="2029-05-16T00:00:00"/>
    <s v="2029"/>
    <x v="1"/>
    <s v="Shahina"/>
    <x v="0"/>
    <x v="2"/>
    <x v="3"/>
    <x v="16"/>
    <n v="7"/>
    <n v="999"/>
    <n v="0.1"/>
    <n v="4182.6000000000004"/>
    <x v="0"/>
    <n v="6993"/>
    <n v="699.30000000000007"/>
    <x v="32"/>
    <x v="397"/>
    <n v="0"/>
  </r>
  <r>
    <x v="398"/>
    <d v="2029-05-17T00:00:00"/>
    <s v="2029"/>
    <x v="1"/>
    <s v="Shahina"/>
    <x v="1"/>
    <x v="2"/>
    <x v="3"/>
    <x v="4"/>
    <n v="1"/>
    <n v="799"/>
    <n v="0"/>
    <n v="656.83"/>
    <x v="0"/>
    <n v="799"/>
    <n v="0"/>
    <x v="32"/>
    <x v="398"/>
    <n v="0"/>
  </r>
  <r>
    <x v="399"/>
    <d v="2029-05-18T00:00:00"/>
    <s v="2029"/>
    <x v="1"/>
    <s v="Vijay"/>
    <x v="0"/>
    <x v="0"/>
    <x v="1"/>
    <x v="1"/>
    <n v="5"/>
    <n v="599"/>
    <n v="0.05"/>
    <n v="2057.64"/>
    <x v="3"/>
    <n v="2995"/>
    <n v="149.75"/>
    <x v="32"/>
    <x v="399"/>
    <n v="0"/>
  </r>
  <r>
    <x v="400"/>
    <d v="2029-05-19T00:00:00"/>
    <s v="2029"/>
    <x v="1"/>
    <s v="Vijay"/>
    <x v="0"/>
    <x v="0"/>
    <x v="3"/>
    <x v="4"/>
    <n v="5"/>
    <n v="799"/>
    <n v="0.1"/>
    <n v="3157.96"/>
    <x v="3"/>
    <n v="3995"/>
    <n v="399.5"/>
    <x v="32"/>
    <x v="400"/>
    <n v="0"/>
  </r>
  <r>
    <x v="401"/>
    <d v="2029-05-20T00:00:00"/>
    <s v="2029"/>
    <x v="1"/>
    <s v="Priya"/>
    <x v="0"/>
    <x v="0"/>
    <x v="1"/>
    <x v="11"/>
    <n v="3"/>
    <n v="899"/>
    <n v="0.1"/>
    <n v="1772.63"/>
    <x v="4"/>
    <n v="2697"/>
    <n v="269.7"/>
    <x v="32"/>
    <x v="401"/>
    <n v="0"/>
  </r>
  <r>
    <x v="402"/>
    <d v="2029-05-21T00:00:00"/>
    <s v="2029"/>
    <x v="1"/>
    <s v="Divya"/>
    <x v="0"/>
    <x v="2"/>
    <x v="0"/>
    <x v="0"/>
    <n v="2"/>
    <n v="420"/>
    <n v="0.15"/>
    <n v="562.86"/>
    <x v="4"/>
    <n v="840"/>
    <n v="126"/>
    <x v="32"/>
    <x v="402"/>
    <n v="0"/>
  </r>
  <r>
    <x v="403"/>
    <d v="2029-05-22T00:00:00"/>
    <s v="2029"/>
    <x v="1"/>
    <s v="Anitha"/>
    <x v="1"/>
    <x v="4"/>
    <x v="3"/>
    <x v="4"/>
    <n v="3"/>
    <n v="799"/>
    <n v="0"/>
    <n v="2024.2"/>
    <x v="2"/>
    <n v="2397"/>
    <n v="0"/>
    <x v="32"/>
    <x v="403"/>
    <n v="0"/>
  </r>
  <r>
    <x v="404"/>
    <d v="2029-05-23T00:00:00"/>
    <s v="2029"/>
    <x v="1"/>
    <s v="Anitha"/>
    <x v="1"/>
    <x v="3"/>
    <x v="2"/>
    <x v="7"/>
    <n v="7"/>
    <n v="1299"/>
    <n v="0.1"/>
    <n v="6668.87"/>
    <x v="2"/>
    <n v="9093"/>
    <n v="909.30000000000007"/>
    <x v="32"/>
    <x v="404"/>
    <n v="0"/>
  </r>
  <r>
    <x v="405"/>
    <d v="2029-05-24T00:00:00"/>
    <s v="2029"/>
    <x v="1"/>
    <s v="Vijay"/>
    <x v="0"/>
    <x v="4"/>
    <x v="2"/>
    <x v="15"/>
    <n v="2"/>
    <n v="499"/>
    <n v="0.1"/>
    <n v="745"/>
    <x v="1"/>
    <n v="998"/>
    <n v="99.800000000000011"/>
    <x v="32"/>
    <x v="405"/>
    <n v="0"/>
  </r>
  <r>
    <x v="406"/>
    <d v="2029-05-25T00:00:00"/>
    <s v="2029"/>
    <x v="1"/>
    <s v="Meena"/>
    <x v="0"/>
    <x v="5"/>
    <x v="0"/>
    <x v="10"/>
    <n v="2"/>
    <n v="240"/>
    <n v="0.15"/>
    <n v="359.29"/>
    <x v="2"/>
    <n v="480"/>
    <n v="72"/>
    <x v="32"/>
    <x v="406"/>
    <n v="0"/>
  </r>
  <r>
    <x v="407"/>
    <d v="2029-05-26T00:00:00"/>
    <s v="2029"/>
    <x v="1"/>
    <s v="Rahul"/>
    <x v="1"/>
    <x v="1"/>
    <x v="1"/>
    <x v="1"/>
    <n v="3"/>
    <n v="599"/>
    <n v="0.2"/>
    <n v="1445.96"/>
    <x v="4"/>
    <n v="1797"/>
    <n v="359.40000000000003"/>
    <x v="32"/>
    <x v="407"/>
    <n v="0"/>
  </r>
  <r>
    <x v="408"/>
    <d v="2029-05-27T00:00:00"/>
    <s v="2029"/>
    <x v="1"/>
    <s v="Priya"/>
    <x v="1"/>
    <x v="2"/>
    <x v="3"/>
    <x v="16"/>
    <n v="5"/>
    <n v="999"/>
    <n v="0"/>
    <n v="3506.88"/>
    <x v="0"/>
    <n v="4995"/>
    <n v="0"/>
    <x v="32"/>
    <x v="408"/>
    <n v="0"/>
  </r>
  <r>
    <x v="409"/>
    <d v="2029-05-28T00:00:00"/>
    <s v="2029"/>
    <x v="1"/>
    <s v="Anitha"/>
    <x v="1"/>
    <x v="1"/>
    <x v="1"/>
    <x v="19"/>
    <n v="8"/>
    <n v="299"/>
    <n v="0.2"/>
    <n v="1637.16"/>
    <x v="4"/>
    <n v="2392"/>
    <n v="478.40000000000003"/>
    <x v="32"/>
    <x v="409"/>
    <n v="0"/>
  </r>
  <r>
    <x v="410"/>
    <d v="2029-05-29T00:00:00"/>
    <s v="2029"/>
    <x v="1"/>
    <s v="Rahul"/>
    <x v="0"/>
    <x v="4"/>
    <x v="1"/>
    <x v="1"/>
    <n v="7"/>
    <n v="599"/>
    <n v="0.15"/>
    <n v="2351.2199999999998"/>
    <x v="0"/>
    <n v="4193"/>
    <n v="628.94999999999993"/>
    <x v="32"/>
    <x v="410"/>
    <n v="0"/>
  </r>
  <r>
    <x v="411"/>
    <d v="2029-05-30T00:00:00"/>
    <s v="2029"/>
    <x v="1"/>
    <s v="Priya"/>
    <x v="1"/>
    <x v="3"/>
    <x v="3"/>
    <x v="8"/>
    <n v="6"/>
    <n v="1199"/>
    <n v="0.1"/>
    <n v="5737.89"/>
    <x v="2"/>
    <n v="7194"/>
    <n v="719.40000000000009"/>
    <x v="32"/>
    <x v="411"/>
    <n v="0"/>
  </r>
  <r>
    <x v="412"/>
    <d v="2029-05-31T00:00:00"/>
    <s v="2029"/>
    <x v="1"/>
    <s v="Rahul"/>
    <x v="1"/>
    <x v="5"/>
    <x v="0"/>
    <x v="12"/>
    <n v="2"/>
    <n v="55"/>
    <n v="0"/>
    <n v="85.56"/>
    <x v="2"/>
    <n v="110"/>
    <n v="0"/>
    <x v="32"/>
    <x v="412"/>
    <n v="0"/>
  </r>
  <r>
    <x v="413"/>
    <d v="2029-06-01T00:00:00"/>
    <s v="2029"/>
    <x v="2"/>
    <s v="Rahul"/>
    <x v="1"/>
    <x v="5"/>
    <x v="0"/>
    <x v="10"/>
    <n v="6"/>
    <n v="240"/>
    <n v="0"/>
    <n v="811.78"/>
    <x v="2"/>
    <n v="1440"/>
    <n v="0"/>
    <x v="32"/>
    <x v="413"/>
    <n v="0"/>
  </r>
  <r>
    <x v="414"/>
    <d v="2029-06-02T00:00:00"/>
    <s v="2029"/>
    <x v="2"/>
    <s v="Kumar"/>
    <x v="1"/>
    <x v="0"/>
    <x v="0"/>
    <x v="10"/>
    <n v="4"/>
    <n v="240"/>
    <n v="0.05"/>
    <n v="562.77"/>
    <x v="4"/>
    <n v="960"/>
    <n v="48"/>
    <x v="32"/>
    <x v="414"/>
    <n v="0"/>
  </r>
  <r>
    <x v="415"/>
    <d v="2029-06-03T00:00:00"/>
    <s v="2029"/>
    <x v="2"/>
    <s v="Vijay"/>
    <x v="0"/>
    <x v="5"/>
    <x v="0"/>
    <x v="13"/>
    <n v="7"/>
    <n v="650"/>
    <n v="0"/>
    <n v="3767.35"/>
    <x v="0"/>
    <n v="4550"/>
    <n v="0"/>
    <x v="32"/>
    <x v="415"/>
    <n v="0"/>
  </r>
  <r>
    <x v="416"/>
    <d v="2029-06-04T00:00:00"/>
    <s v="2029"/>
    <x v="2"/>
    <s v="Vijay"/>
    <x v="1"/>
    <x v="5"/>
    <x v="3"/>
    <x v="8"/>
    <n v="1"/>
    <n v="1199"/>
    <n v="0.2"/>
    <n v="924.27"/>
    <x v="0"/>
    <n v="1199"/>
    <n v="239.8"/>
    <x v="32"/>
    <x v="416"/>
    <n v="0"/>
  </r>
  <r>
    <x v="417"/>
    <d v="2029-06-05T00:00:00"/>
    <s v="2029"/>
    <x v="2"/>
    <s v="Suresh"/>
    <x v="1"/>
    <x v="3"/>
    <x v="3"/>
    <x v="18"/>
    <n v="3"/>
    <n v="1999"/>
    <n v="0.05"/>
    <n v="3484.65"/>
    <x v="0"/>
    <n v="5997"/>
    <n v="299.85000000000002"/>
    <x v="32"/>
    <x v="417"/>
    <n v="0"/>
  </r>
  <r>
    <x v="418"/>
    <d v="2029-06-06T00:00:00"/>
    <s v="2029"/>
    <x v="2"/>
    <s v="Rahul"/>
    <x v="1"/>
    <x v="4"/>
    <x v="3"/>
    <x v="16"/>
    <n v="7"/>
    <n v="999"/>
    <n v="0.1"/>
    <n v="5882.14"/>
    <x v="4"/>
    <n v="6993"/>
    <n v="699.30000000000007"/>
    <x v="32"/>
    <x v="418"/>
    <n v="0"/>
  </r>
  <r>
    <x v="419"/>
    <d v="2029-06-07T00:00:00"/>
    <s v="2029"/>
    <x v="2"/>
    <s v="Kumar"/>
    <x v="1"/>
    <x v="3"/>
    <x v="0"/>
    <x v="10"/>
    <n v="6"/>
    <n v="240"/>
    <n v="0.2"/>
    <n v="1065.28"/>
    <x v="2"/>
    <n v="1440"/>
    <n v="288"/>
    <x v="32"/>
    <x v="419"/>
    <n v="0"/>
  </r>
  <r>
    <x v="420"/>
    <d v="2029-06-08T00:00:00"/>
    <s v="2029"/>
    <x v="2"/>
    <s v="Suresh"/>
    <x v="1"/>
    <x v="5"/>
    <x v="0"/>
    <x v="0"/>
    <n v="3"/>
    <n v="420"/>
    <n v="0.2"/>
    <n v="898.06"/>
    <x v="3"/>
    <n v="1260"/>
    <n v="252"/>
    <x v="32"/>
    <x v="420"/>
    <n v="0"/>
  </r>
  <r>
    <x v="421"/>
    <d v="2029-06-09T00:00:00"/>
    <s v="2029"/>
    <x v="2"/>
    <s v="Unknown"/>
    <x v="1"/>
    <x v="3"/>
    <x v="2"/>
    <x v="2"/>
    <n v="7"/>
    <n v="1499"/>
    <n v="0.2"/>
    <n v="6671.22"/>
    <x v="4"/>
    <n v="10493"/>
    <n v="2098.6"/>
    <x v="32"/>
    <x v="421"/>
    <n v="0"/>
  </r>
  <r>
    <x v="422"/>
    <d v="2029-06-10T00:00:00"/>
    <s v="2029"/>
    <x v="2"/>
    <s v="Meena"/>
    <x v="0"/>
    <x v="0"/>
    <x v="2"/>
    <x v="7"/>
    <n v="1"/>
    <n v="1299"/>
    <n v="0"/>
    <n v="792.35"/>
    <x v="2"/>
    <n v="1299"/>
    <n v="0"/>
    <x v="32"/>
    <x v="422"/>
    <n v="0"/>
  </r>
  <r>
    <x v="423"/>
    <d v="2029-06-11T00:00:00"/>
    <s v="2029"/>
    <x v="2"/>
    <s v="Divya"/>
    <x v="0"/>
    <x v="0"/>
    <x v="0"/>
    <x v="0"/>
    <n v="1"/>
    <n v="420"/>
    <n v="0.1"/>
    <n v="333.57"/>
    <x v="1"/>
    <n v="420"/>
    <n v="42"/>
    <x v="32"/>
    <x v="423"/>
    <n v="0"/>
  </r>
  <r>
    <x v="424"/>
    <d v="2029-06-12T00:00:00"/>
    <s v="2029"/>
    <x v="2"/>
    <s v="Meena"/>
    <x v="0"/>
    <x v="5"/>
    <x v="2"/>
    <x v="7"/>
    <n v="5"/>
    <n v="1299"/>
    <n v="0"/>
    <n v="5377.51"/>
    <x v="4"/>
    <n v="6495"/>
    <n v="0"/>
    <x v="32"/>
    <x v="424"/>
    <n v="0"/>
  </r>
  <r>
    <x v="425"/>
    <d v="2029-06-13T00:00:00"/>
    <s v="2029"/>
    <x v="2"/>
    <s v="Rahul"/>
    <x v="0"/>
    <x v="0"/>
    <x v="0"/>
    <x v="0"/>
    <n v="8"/>
    <n v="420"/>
    <n v="0.05"/>
    <n v="2766.78"/>
    <x v="3"/>
    <n v="3360"/>
    <n v="168"/>
    <x v="32"/>
    <x v="425"/>
    <n v="0"/>
  </r>
  <r>
    <x v="426"/>
    <d v="2029-06-14T00:00:00"/>
    <s v="2029"/>
    <x v="2"/>
    <s v="Meena"/>
    <x v="0"/>
    <x v="5"/>
    <x v="3"/>
    <x v="16"/>
    <n v="8"/>
    <n v="999"/>
    <n v="0.05"/>
    <n v="6753.53"/>
    <x v="1"/>
    <n v="7992"/>
    <n v="399.6"/>
    <x v="32"/>
    <x v="426"/>
    <n v="0"/>
  </r>
  <r>
    <x v="427"/>
    <d v="2029-06-15T00:00:00"/>
    <s v="2029"/>
    <x v="2"/>
    <s v="Kumar"/>
    <x v="0"/>
    <x v="4"/>
    <x v="1"/>
    <x v="19"/>
    <n v="5"/>
    <n v="299"/>
    <n v="0.2"/>
    <n v="940.76"/>
    <x v="2"/>
    <n v="1495"/>
    <n v="299"/>
    <x v="32"/>
    <x v="427"/>
    <n v="0"/>
  </r>
  <r>
    <x v="428"/>
    <d v="2029-06-16T00:00:00"/>
    <s v="2029"/>
    <x v="2"/>
    <s v="Divya"/>
    <x v="0"/>
    <x v="2"/>
    <x v="2"/>
    <x v="7"/>
    <n v="1"/>
    <n v="1299"/>
    <n v="0.05"/>
    <n v="1076.3399999999999"/>
    <x v="0"/>
    <n v="1299"/>
    <n v="64.95"/>
    <x v="32"/>
    <x v="428"/>
    <n v="0"/>
  </r>
  <r>
    <x v="429"/>
    <d v="2029-06-17T00:00:00"/>
    <s v="2029"/>
    <x v="2"/>
    <s v="Suresh"/>
    <x v="1"/>
    <x v="4"/>
    <x v="0"/>
    <x v="13"/>
    <n v="6"/>
    <n v="650"/>
    <n v="0.2"/>
    <n v="2402.36"/>
    <x v="2"/>
    <n v="3900"/>
    <n v="780"/>
    <x v="32"/>
    <x v="429"/>
    <n v="0"/>
  </r>
  <r>
    <x v="430"/>
    <d v="2029-06-18T00:00:00"/>
    <s v="2029"/>
    <x v="2"/>
    <s v="Priya"/>
    <x v="0"/>
    <x v="4"/>
    <x v="2"/>
    <x v="15"/>
    <n v="6"/>
    <n v="499"/>
    <n v="0.05"/>
    <n v="2440.17"/>
    <x v="3"/>
    <n v="2994"/>
    <n v="149.70000000000002"/>
    <x v="32"/>
    <x v="430"/>
    <n v="0"/>
  </r>
  <r>
    <x v="431"/>
    <d v="2029-06-19T00:00:00"/>
    <s v="2029"/>
    <x v="2"/>
    <s v="Rahul"/>
    <x v="1"/>
    <x v="1"/>
    <x v="2"/>
    <x v="2"/>
    <n v="1"/>
    <n v="1499"/>
    <n v="0"/>
    <n v="1125.27"/>
    <x v="4"/>
    <n v="1499"/>
    <n v="0"/>
    <x v="32"/>
    <x v="431"/>
    <n v="0"/>
  </r>
  <r>
    <x v="432"/>
    <d v="2029-06-20T00:00:00"/>
    <s v="2029"/>
    <x v="2"/>
    <s v="Suresh"/>
    <x v="0"/>
    <x v="0"/>
    <x v="0"/>
    <x v="12"/>
    <n v="2"/>
    <n v="55"/>
    <n v="0.15"/>
    <n v="68.97"/>
    <x v="3"/>
    <n v="110"/>
    <n v="16.5"/>
    <x v="32"/>
    <x v="432"/>
    <n v="0"/>
  </r>
  <r>
    <x v="433"/>
    <d v="2029-06-21T00:00:00"/>
    <s v="2029"/>
    <x v="2"/>
    <s v="Meena"/>
    <x v="1"/>
    <x v="3"/>
    <x v="2"/>
    <x v="14"/>
    <n v="1"/>
    <n v="899"/>
    <n v="0.1"/>
    <n v="736.72"/>
    <x v="2"/>
    <n v="899"/>
    <n v="89.9"/>
    <x v="32"/>
    <x v="433"/>
    <n v="0"/>
  </r>
  <r>
    <x v="434"/>
    <d v="2029-06-22T00:00:00"/>
    <s v="2029"/>
    <x v="2"/>
    <s v="Meena"/>
    <x v="0"/>
    <x v="0"/>
    <x v="3"/>
    <x v="18"/>
    <n v="1"/>
    <n v="1999"/>
    <n v="0"/>
    <n v="1225.8599999999999"/>
    <x v="2"/>
    <n v="1999"/>
    <n v="0"/>
    <x v="32"/>
    <x v="434"/>
    <n v="0"/>
  </r>
  <r>
    <x v="435"/>
    <d v="2029-06-23T00:00:00"/>
    <s v="2029"/>
    <x v="2"/>
    <s v="Anitha"/>
    <x v="0"/>
    <x v="1"/>
    <x v="2"/>
    <x v="15"/>
    <n v="3"/>
    <n v="499"/>
    <n v="0"/>
    <n v="1029.5899999999999"/>
    <x v="3"/>
    <n v="1497"/>
    <n v="0"/>
    <x v="32"/>
    <x v="435"/>
    <n v="0"/>
  </r>
  <r>
    <x v="436"/>
    <d v="2029-06-24T00:00:00"/>
    <s v="2029"/>
    <x v="2"/>
    <s v="Priya"/>
    <x v="0"/>
    <x v="0"/>
    <x v="3"/>
    <x v="16"/>
    <n v="2"/>
    <n v="999"/>
    <n v="0.2"/>
    <n v="1591.38"/>
    <x v="3"/>
    <n v="1998"/>
    <n v="399.6"/>
    <x v="32"/>
    <x v="436"/>
    <n v="0"/>
  </r>
  <r>
    <x v="437"/>
    <d v="2029-06-25T00:00:00"/>
    <s v="2029"/>
    <x v="2"/>
    <s v="Anitha"/>
    <x v="1"/>
    <x v="5"/>
    <x v="2"/>
    <x v="14"/>
    <n v="6"/>
    <n v="899"/>
    <n v="0"/>
    <n v="3596.99"/>
    <x v="1"/>
    <n v="5394"/>
    <n v="0"/>
    <x v="32"/>
    <x v="437"/>
    <n v="0"/>
  </r>
  <r>
    <x v="438"/>
    <d v="2029-06-26T00:00:00"/>
    <s v="2029"/>
    <x v="2"/>
    <s v="Arun"/>
    <x v="0"/>
    <x v="5"/>
    <x v="1"/>
    <x v="1"/>
    <n v="6"/>
    <n v="599"/>
    <n v="0.2"/>
    <n v="2091.14"/>
    <x v="3"/>
    <n v="3594"/>
    <n v="718.80000000000007"/>
    <x v="32"/>
    <x v="438"/>
    <n v="0"/>
  </r>
  <r>
    <x v="439"/>
    <d v="2029-06-27T00:00:00"/>
    <s v="2029"/>
    <x v="2"/>
    <s v="Priya"/>
    <x v="1"/>
    <x v="4"/>
    <x v="2"/>
    <x v="14"/>
    <n v="1"/>
    <n v="899"/>
    <n v="0.15"/>
    <n v="536.61"/>
    <x v="2"/>
    <n v="899"/>
    <n v="134.85"/>
    <x v="32"/>
    <x v="439"/>
    <n v="0"/>
  </r>
  <r>
    <x v="440"/>
    <d v="2029-06-28T00:00:00"/>
    <s v="2029"/>
    <x v="2"/>
    <s v="Anitha"/>
    <x v="1"/>
    <x v="5"/>
    <x v="3"/>
    <x v="16"/>
    <n v="6"/>
    <n v="999"/>
    <n v="0"/>
    <n v="4292.05"/>
    <x v="0"/>
    <n v="5994"/>
    <n v="0"/>
    <x v="32"/>
    <x v="440"/>
    <n v="0"/>
  </r>
  <r>
    <x v="441"/>
    <d v="2029-06-29T00:00:00"/>
    <s v="2029"/>
    <x v="2"/>
    <s v="Priya"/>
    <x v="0"/>
    <x v="0"/>
    <x v="2"/>
    <x v="2"/>
    <n v="2"/>
    <n v="1499"/>
    <n v="0.1"/>
    <n v="1837.82"/>
    <x v="3"/>
    <n v="2998"/>
    <n v="299.8"/>
    <x v="32"/>
    <x v="441"/>
    <n v="0"/>
  </r>
  <r>
    <x v="442"/>
    <d v="2029-06-30T00:00:00"/>
    <s v="2029"/>
    <x v="2"/>
    <s v="Anitha"/>
    <x v="0"/>
    <x v="1"/>
    <x v="3"/>
    <x v="3"/>
    <n v="5"/>
    <n v="1599"/>
    <n v="0.05"/>
    <n v="4672.17"/>
    <x v="0"/>
    <n v="7995"/>
    <n v="399.75"/>
    <x v="32"/>
    <x v="442"/>
    <n v="0"/>
  </r>
  <r>
    <x v="443"/>
    <d v="2029-07-01T00:00:00"/>
    <s v="2029"/>
    <x v="3"/>
    <s v="Meena"/>
    <x v="1"/>
    <x v="5"/>
    <x v="1"/>
    <x v="6"/>
    <n v="2"/>
    <n v="1499"/>
    <n v="0.1"/>
    <n v="1737.22"/>
    <x v="0"/>
    <n v="2998"/>
    <n v="299.8"/>
    <x v="32"/>
    <x v="443"/>
    <n v="0"/>
  </r>
  <r>
    <x v="444"/>
    <d v="2029-07-02T00:00:00"/>
    <s v="2029"/>
    <x v="3"/>
    <s v="Rahul"/>
    <x v="1"/>
    <x v="1"/>
    <x v="3"/>
    <x v="4"/>
    <n v="5"/>
    <n v="799"/>
    <n v="0.2"/>
    <n v="2280.92"/>
    <x v="2"/>
    <n v="3995"/>
    <n v="799"/>
    <x v="32"/>
    <x v="444"/>
    <n v="0"/>
  </r>
  <r>
    <x v="445"/>
    <d v="2029-07-03T00:00:00"/>
    <s v="2029"/>
    <x v="3"/>
    <s v="Vijay"/>
    <x v="1"/>
    <x v="2"/>
    <x v="0"/>
    <x v="10"/>
    <n v="3"/>
    <n v="240"/>
    <n v="0.2"/>
    <n v="518.44000000000005"/>
    <x v="3"/>
    <n v="720"/>
    <n v="144"/>
    <x v="32"/>
    <x v="445"/>
    <n v="0"/>
  </r>
  <r>
    <x v="446"/>
    <d v="2029-07-04T00:00:00"/>
    <s v="2029"/>
    <x v="3"/>
    <s v="Kumar"/>
    <x v="0"/>
    <x v="2"/>
    <x v="3"/>
    <x v="3"/>
    <n v="7"/>
    <n v="1599"/>
    <n v="0.1"/>
    <n v="8977.16"/>
    <x v="2"/>
    <n v="11193"/>
    <n v="1119.3"/>
    <x v="32"/>
    <x v="446"/>
    <n v="0"/>
  </r>
  <r>
    <x v="447"/>
    <d v="2029-07-05T00:00:00"/>
    <s v="2029"/>
    <x v="3"/>
    <s v="Rahul"/>
    <x v="1"/>
    <x v="4"/>
    <x v="2"/>
    <x v="5"/>
    <n v="5"/>
    <n v="699"/>
    <n v="0.15"/>
    <n v="2500.6799999999998"/>
    <x v="2"/>
    <n v="3495"/>
    <n v="524.25"/>
    <x v="32"/>
    <x v="447"/>
    <n v="0"/>
  </r>
  <r>
    <x v="448"/>
    <d v="2029-07-06T00:00:00"/>
    <s v="2029"/>
    <x v="3"/>
    <s v="Suresh"/>
    <x v="0"/>
    <x v="2"/>
    <x v="3"/>
    <x v="18"/>
    <n v="4"/>
    <n v="1999"/>
    <n v="0.1"/>
    <n v="6157.43"/>
    <x v="1"/>
    <n v="7996"/>
    <n v="799.6"/>
    <x v="32"/>
    <x v="448"/>
    <n v="0"/>
  </r>
  <r>
    <x v="449"/>
    <d v="2029-07-07T00:00:00"/>
    <s v="2029"/>
    <x v="3"/>
    <s v="Arun"/>
    <x v="0"/>
    <x v="3"/>
    <x v="2"/>
    <x v="2"/>
    <n v="4"/>
    <n v="1499"/>
    <n v="0"/>
    <n v="4290.01"/>
    <x v="0"/>
    <n v="5996"/>
    <n v="0"/>
    <x v="32"/>
    <x v="449"/>
    <n v="0"/>
  </r>
  <r>
    <x v="450"/>
    <d v="2029-07-08T00:00:00"/>
    <s v="2029"/>
    <x v="3"/>
    <s v="Vijay"/>
    <x v="0"/>
    <x v="2"/>
    <x v="2"/>
    <x v="7"/>
    <n v="5"/>
    <n v="1299"/>
    <n v="0.05"/>
    <n v="4477.72"/>
    <x v="0"/>
    <n v="6495"/>
    <n v="324.75"/>
    <x v="32"/>
    <x v="450"/>
    <n v="0"/>
  </r>
  <r>
    <x v="451"/>
    <d v="2029-07-09T00:00:00"/>
    <s v="2029"/>
    <x v="3"/>
    <s v="Anitha"/>
    <x v="1"/>
    <x v="3"/>
    <x v="1"/>
    <x v="11"/>
    <n v="3"/>
    <n v="899"/>
    <n v="0.2"/>
    <n v="1596.92"/>
    <x v="2"/>
    <n v="2697"/>
    <n v="539.4"/>
    <x v="32"/>
    <x v="451"/>
    <n v="0"/>
  </r>
  <r>
    <x v="452"/>
    <d v="2029-07-10T00:00:00"/>
    <s v="2029"/>
    <x v="3"/>
    <s v="Suresh"/>
    <x v="0"/>
    <x v="5"/>
    <x v="2"/>
    <x v="5"/>
    <n v="1"/>
    <n v="699"/>
    <n v="0.05"/>
    <n v="544.13"/>
    <x v="2"/>
    <n v="699"/>
    <n v="34.950000000000003"/>
    <x v="32"/>
    <x v="452"/>
    <n v="0"/>
  </r>
  <r>
    <x v="453"/>
    <d v="2029-07-11T00:00:00"/>
    <s v="2029"/>
    <x v="3"/>
    <s v="Divya"/>
    <x v="1"/>
    <x v="1"/>
    <x v="1"/>
    <x v="11"/>
    <n v="6"/>
    <n v="899"/>
    <n v="0.15"/>
    <n v="3726.73"/>
    <x v="4"/>
    <n v="5394"/>
    <n v="809.1"/>
    <x v="32"/>
    <x v="453"/>
    <n v="0"/>
  </r>
  <r>
    <x v="454"/>
    <d v="2029-07-12T00:00:00"/>
    <s v="2029"/>
    <x v="3"/>
    <s v="Arun"/>
    <x v="1"/>
    <x v="0"/>
    <x v="0"/>
    <x v="17"/>
    <n v="3"/>
    <n v="180"/>
    <n v="0.15"/>
    <n v="402.9"/>
    <x v="3"/>
    <n v="540"/>
    <n v="81"/>
    <x v="32"/>
    <x v="454"/>
    <n v="0"/>
  </r>
  <r>
    <x v="455"/>
    <d v="2029-07-13T00:00:00"/>
    <s v="2029"/>
    <x v="3"/>
    <s v="Priya"/>
    <x v="1"/>
    <x v="4"/>
    <x v="3"/>
    <x v="18"/>
    <n v="7"/>
    <n v="1999"/>
    <n v="0.1"/>
    <n v="11126.83"/>
    <x v="3"/>
    <n v="13993"/>
    <n v="1399.3000000000002"/>
    <x v="32"/>
    <x v="455"/>
    <n v="0"/>
  </r>
  <r>
    <x v="456"/>
    <d v="2029-07-14T00:00:00"/>
    <s v="2029"/>
    <x v="3"/>
    <s v="Vijay"/>
    <x v="0"/>
    <x v="3"/>
    <x v="3"/>
    <x v="8"/>
    <n v="3"/>
    <n v="1199"/>
    <n v="0.05"/>
    <n v="2061.54"/>
    <x v="3"/>
    <n v="3597"/>
    <n v="179.85000000000002"/>
    <x v="32"/>
    <x v="456"/>
    <n v="0"/>
  </r>
  <r>
    <x v="457"/>
    <d v="2029-07-15T00:00:00"/>
    <s v="2029"/>
    <x v="3"/>
    <s v="Kumar"/>
    <x v="0"/>
    <x v="1"/>
    <x v="0"/>
    <x v="10"/>
    <n v="2"/>
    <n v="240"/>
    <n v="0.05"/>
    <n v="323.7"/>
    <x v="3"/>
    <n v="480"/>
    <n v="24"/>
    <x v="32"/>
    <x v="457"/>
    <n v="0"/>
  </r>
  <r>
    <x v="458"/>
    <d v="2029-07-16T00:00:00"/>
    <s v="2029"/>
    <x v="3"/>
    <s v="Vijay"/>
    <x v="1"/>
    <x v="4"/>
    <x v="3"/>
    <x v="18"/>
    <n v="3"/>
    <n v="1999"/>
    <n v="0.15"/>
    <n v="3338.73"/>
    <x v="1"/>
    <n v="5997"/>
    <n v="899.55"/>
    <x v="32"/>
    <x v="458"/>
    <n v="0"/>
  </r>
  <r>
    <x v="459"/>
    <d v="2029-07-17T00:00:00"/>
    <s v="2029"/>
    <x v="3"/>
    <s v="Suresh"/>
    <x v="0"/>
    <x v="1"/>
    <x v="1"/>
    <x v="9"/>
    <n v="3"/>
    <n v="1299"/>
    <n v="0"/>
    <n v="2337.8200000000002"/>
    <x v="2"/>
    <n v="3897"/>
    <n v="0"/>
    <x v="32"/>
    <x v="459"/>
    <n v="0"/>
  </r>
  <r>
    <x v="460"/>
    <d v="2029-07-18T00:00:00"/>
    <s v="2029"/>
    <x v="3"/>
    <s v="Anitha"/>
    <x v="0"/>
    <x v="5"/>
    <x v="0"/>
    <x v="13"/>
    <n v="4"/>
    <n v="650"/>
    <n v="0.15"/>
    <n v="1903.09"/>
    <x v="4"/>
    <n v="2600"/>
    <n v="390"/>
    <x v="32"/>
    <x v="460"/>
    <n v="0"/>
  </r>
  <r>
    <x v="461"/>
    <d v="2029-07-19T00:00:00"/>
    <s v="2029"/>
    <x v="3"/>
    <s v="Kumar"/>
    <x v="0"/>
    <x v="4"/>
    <x v="3"/>
    <x v="18"/>
    <n v="3"/>
    <n v="1999"/>
    <n v="0.2"/>
    <n v="4485.12"/>
    <x v="3"/>
    <n v="5997"/>
    <n v="1199.4000000000001"/>
    <x v="32"/>
    <x v="461"/>
    <n v="0"/>
  </r>
  <r>
    <x v="462"/>
    <d v="2029-07-20T00:00:00"/>
    <s v="2029"/>
    <x v="3"/>
    <s v="Rahul"/>
    <x v="1"/>
    <x v="3"/>
    <x v="1"/>
    <x v="11"/>
    <n v="7"/>
    <n v="899"/>
    <n v="0.15"/>
    <n v="3710.76"/>
    <x v="1"/>
    <n v="6293"/>
    <n v="943.94999999999993"/>
    <x v="32"/>
    <x v="462"/>
    <n v="0"/>
  </r>
  <r>
    <x v="463"/>
    <d v="2029-07-21T00:00:00"/>
    <s v="2029"/>
    <x v="3"/>
    <s v="Meena"/>
    <x v="1"/>
    <x v="1"/>
    <x v="1"/>
    <x v="11"/>
    <n v="8"/>
    <n v="899"/>
    <n v="0.2"/>
    <n v="5249.76"/>
    <x v="0"/>
    <n v="7192"/>
    <n v="1438.4"/>
    <x v="32"/>
    <x v="463"/>
    <n v="0"/>
  </r>
  <r>
    <x v="464"/>
    <d v="2029-07-22T00:00:00"/>
    <s v="2029"/>
    <x v="3"/>
    <s v="Priya"/>
    <x v="0"/>
    <x v="4"/>
    <x v="3"/>
    <x v="18"/>
    <n v="1"/>
    <n v="1999"/>
    <n v="0.15"/>
    <n v="1412.52"/>
    <x v="3"/>
    <n v="1999"/>
    <n v="299.84999999999997"/>
    <x v="32"/>
    <x v="464"/>
    <n v="0"/>
  </r>
  <r>
    <x v="465"/>
    <d v="2029-07-23T00:00:00"/>
    <s v="2029"/>
    <x v="3"/>
    <s v="Meena"/>
    <x v="1"/>
    <x v="1"/>
    <x v="2"/>
    <x v="14"/>
    <n v="6"/>
    <n v="899"/>
    <n v="0.2"/>
    <n v="4268.74"/>
    <x v="0"/>
    <n v="5394"/>
    <n v="1078.8"/>
    <x v="32"/>
    <x v="465"/>
    <n v="0"/>
  </r>
  <r>
    <x v="466"/>
    <d v="2029-07-24T00:00:00"/>
    <s v="2029"/>
    <x v="3"/>
    <s v="Anitha"/>
    <x v="0"/>
    <x v="2"/>
    <x v="2"/>
    <x v="7"/>
    <n v="2"/>
    <n v="1299"/>
    <n v="0.1"/>
    <n v="1895.21"/>
    <x v="0"/>
    <n v="2598"/>
    <n v="259.8"/>
    <x v="32"/>
    <x v="466"/>
    <n v="0"/>
  </r>
  <r>
    <x v="467"/>
    <d v="2029-07-25T00:00:00"/>
    <s v="2029"/>
    <x v="3"/>
    <s v="Divya"/>
    <x v="0"/>
    <x v="0"/>
    <x v="1"/>
    <x v="9"/>
    <n v="2"/>
    <n v="1299"/>
    <n v="0.2"/>
    <n v="1434.51"/>
    <x v="2"/>
    <n v="2598"/>
    <n v="519.6"/>
    <x v="32"/>
    <x v="467"/>
    <n v="0"/>
  </r>
  <r>
    <x v="468"/>
    <d v="2029-07-26T00:00:00"/>
    <s v="2029"/>
    <x v="3"/>
    <s v="Rahul"/>
    <x v="1"/>
    <x v="2"/>
    <x v="1"/>
    <x v="11"/>
    <n v="7"/>
    <n v="899"/>
    <n v="0.2"/>
    <n v="3939.98"/>
    <x v="0"/>
    <n v="6293"/>
    <n v="1258.6000000000001"/>
    <x v="32"/>
    <x v="468"/>
    <n v="0"/>
  </r>
  <r>
    <x v="469"/>
    <d v="2029-07-27T00:00:00"/>
    <s v="2029"/>
    <x v="3"/>
    <s v="Suresh"/>
    <x v="1"/>
    <x v="3"/>
    <x v="0"/>
    <x v="12"/>
    <n v="4"/>
    <n v="55"/>
    <n v="0.15"/>
    <n v="157.44"/>
    <x v="0"/>
    <n v="220"/>
    <n v="33"/>
    <x v="32"/>
    <x v="469"/>
    <n v="0"/>
  </r>
  <r>
    <x v="470"/>
    <d v="2029-07-28T00:00:00"/>
    <s v="2029"/>
    <x v="3"/>
    <s v="Kumar"/>
    <x v="1"/>
    <x v="3"/>
    <x v="2"/>
    <x v="5"/>
    <n v="5"/>
    <n v="699"/>
    <n v="0.2"/>
    <n v="2283.31"/>
    <x v="4"/>
    <n v="3495"/>
    <n v="699"/>
    <x v="32"/>
    <x v="470"/>
    <n v="0"/>
  </r>
  <r>
    <x v="471"/>
    <d v="2029-07-29T00:00:00"/>
    <s v="2029"/>
    <x v="3"/>
    <s v="Priya"/>
    <x v="0"/>
    <x v="4"/>
    <x v="3"/>
    <x v="4"/>
    <n v="4"/>
    <n v="799"/>
    <n v="0.2"/>
    <n v="2141.86"/>
    <x v="3"/>
    <n v="3196"/>
    <n v="639.20000000000005"/>
    <x v="32"/>
    <x v="471"/>
    <n v="0"/>
  </r>
  <r>
    <x v="472"/>
    <d v="2029-07-30T00:00:00"/>
    <s v="2029"/>
    <x v="3"/>
    <s v="Suresh"/>
    <x v="0"/>
    <x v="1"/>
    <x v="2"/>
    <x v="15"/>
    <n v="2"/>
    <n v="499"/>
    <n v="0.05"/>
    <n v="690.12"/>
    <x v="0"/>
    <n v="998"/>
    <n v="49.900000000000006"/>
    <x v="32"/>
    <x v="472"/>
    <n v="0"/>
  </r>
  <r>
    <x v="473"/>
    <d v="2029-07-31T00:00:00"/>
    <s v="2029"/>
    <x v="3"/>
    <s v="Priya"/>
    <x v="0"/>
    <x v="2"/>
    <x v="3"/>
    <x v="16"/>
    <n v="2"/>
    <n v="999"/>
    <n v="0.2"/>
    <n v="1121.53"/>
    <x v="4"/>
    <n v="1998"/>
    <n v="399.6"/>
    <x v="32"/>
    <x v="473"/>
    <n v="0"/>
  </r>
  <r>
    <x v="474"/>
    <d v="2029-08-01T00:00:00"/>
    <s v="2029"/>
    <x v="4"/>
    <s v="Suresh"/>
    <x v="1"/>
    <x v="5"/>
    <x v="1"/>
    <x v="11"/>
    <n v="8"/>
    <n v="899"/>
    <n v="0.15"/>
    <n v="3978.71"/>
    <x v="0"/>
    <n v="7192"/>
    <n v="1078.8"/>
    <x v="32"/>
    <x v="474"/>
    <n v="0"/>
  </r>
  <r>
    <x v="475"/>
    <d v="2029-08-02T00:00:00"/>
    <s v="2029"/>
    <x v="4"/>
    <s v="Shahina"/>
    <x v="0"/>
    <x v="3"/>
    <x v="3"/>
    <x v="18"/>
    <n v="3"/>
    <n v="1999"/>
    <n v="0"/>
    <n v="3945.56"/>
    <x v="1"/>
    <n v="5997"/>
    <n v="0"/>
    <x v="32"/>
    <x v="475"/>
    <n v="0"/>
  </r>
  <r>
    <x v="476"/>
    <d v="2029-08-03T00:00:00"/>
    <s v="2029"/>
    <x v="4"/>
    <s v="Priya"/>
    <x v="1"/>
    <x v="4"/>
    <x v="0"/>
    <x v="12"/>
    <n v="7"/>
    <n v="55"/>
    <n v="0.2"/>
    <n v="234.89"/>
    <x v="1"/>
    <n v="385"/>
    <n v="77"/>
    <x v="32"/>
    <x v="476"/>
    <n v="0"/>
  </r>
  <r>
    <x v="477"/>
    <d v="2029-08-04T00:00:00"/>
    <s v="2029"/>
    <x v="4"/>
    <s v="Priya"/>
    <x v="0"/>
    <x v="3"/>
    <x v="0"/>
    <x v="10"/>
    <n v="6"/>
    <n v="240"/>
    <n v="0.1"/>
    <n v="1208.1400000000001"/>
    <x v="3"/>
    <n v="1440"/>
    <n v="144"/>
    <x v="32"/>
    <x v="477"/>
    <n v="0"/>
  </r>
  <r>
    <x v="478"/>
    <d v="2029-08-05T00:00:00"/>
    <s v="2029"/>
    <x v="4"/>
    <s v="Suresh"/>
    <x v="0"/>
    <x v="4"/>
    <x v="2"/>
    <x v="2"/>
    <n v="1"/>
    <n v="1499"/>
    <n v="0.1"/>
    <n v="903.16"/>
    <x v="0"/>
    <n v="1499"/>
    <n v="149.9"/>
    <x v="32"/>
    <x v="478"/>
    <n v="0"/>
  </r>
  <r>
    <x v="479"/>
    <d v="2029-08-06T00:00:00"/>
    <s v="2029"/>
    <x v="4"/>
    <s v="Meena"/>
    <x v="0"/>
    <x v="3"/>
    <x v="0"/>
    <x v="17"/>
    <n v="2"/>
    <n v="180"/>
    <n v="0.2"/>
    <n v="301.32"/>
    <x v="0"/>
    <n v="360"/>
    <n v="72"/>
    <x v="32"/>
    <x v="479"/>
    <n v="0"/>
  </r>
  <r>
    <x v="480"/>
    <d v="2029-08-07T00:00:00"/>
    <s v="2029"/>
    <x v="4"/>
    <s v="Divya"/>
    <x v="1"/>
    <x v="4"/>
    <x v="2"/>
    <x v="7"/>
    <n v="6"/>
    <n v="1299"/>
    <n v="0.15"/>
    <n v="5880.4"/>
    <x v="0"/>
    <n v="7794"/>
    <n v="1169.0999999999999"/>
    <x v="32"/>
    <x v="480"/>
    <n v="0"/>
  </r>
  <r>
    <x v="481"/>
    <d v="2029-08-08T00:00:00"/>
    <s v="2029"/>
    <x v="4"/>
    <s v="Vijay"/>
    <x v="0"/>
    <x v="2"/>
    <x v="1"/>
    <x v="19"/>
    <n v="4"/>
    <n v="299"/>
    <n v="0.05"/>
    <n v="944.9"/>
    <x v="4"/>
    <n v="1196"/>
    <n v="59.800000000000004"/>
    <x v="32"/>
    <x v="481"/>
    <n v="0"/>
  </r>
  <r>
    <x v="482"/>
    <d v="2029-08-09T00:00:00"/>
    <s v="2029"/>
    <x v="4"/>
    <s v="Meena"/>
    <x v="0"/>
    <x v="5"/>
    <x v="0"/>
    <x v="0"/>
    <n v="5"/>
    <n v="420"/>
    <n v="0"/>
    <n v="1406.33"/>
    <x v="3"/>
    <n v="2100"/>
    <n v="0"/>
    <x v="32"/>
    <x v="482"/>
    <n v="0"/>
  </r>
  <r>
    <x v="483"/>
    <d v="2029-08-10T00:00:00"/>
    <s v="2029"/>
    <x v="4"/>
    <s v="Meena"/>
    <x v="0"/>
    <x v="4"/>
    <x v="0"/>
    <x v="17"/>
    <n v="4"/>
    <n v="180"/>
    <n v="0.2"/>
    <n v="454.12"/>
    <x v="2"/>
    <n v="720"/>
    <n v="144"/>
    <x v="32"/>
    <x v="483"/>
    <n v="0"/>
  </r>
  <r>
    <x v="484"/>
    <d v="2029-08-11T00:00:00"/>
    <s v="2029"/>
    <x v="4"/>
    <s v="Shahina"/>
    <x v="0"/>
    <x v="5"/>
    <x v="3"/>
    <x v="16"/>
    <n v="4"/>
    <n v="999"/>
    <n v="0.05"/>
    <n v="2440.88"/>
    <x v="2"/>
    <n v="3996"/>
    <n v="199.8"/>
    <x v="32"/>
    <x v="484"/>
    <n v="0"/>
  </r>
  <r>
    <x v="485"/>
    <d v="2029-08-12T00:00:00"/>
    <s v="2029"/>
    <x v="4"/>
    <s v="Rahul"/>
    <x v="0"/>
    <x v="0"/>
    <x v="1"/>
    <x v="1"/>
    <n v="8"/>
    <n v="599"/>
    <n v="0.2"/>
    <n v="2645.12"/>
    <x v="0"/>
    <n v="4792"/>
    <n v="958.40000000000009"/>
    <x v="32"/>
    <x v="485"/>
    <n v="0"/>
  </r>
  <r>
    <x v="486"/>
    <d v="2029-08-13T00:00:00"/>
    <s v="2029"/>
    <x v="4"/>
    <s v="Vijay"/>
    <x v="1"/>
    <x v="3"/>
    <x v="0"/>
    <x v="12"/>
    <n v="5"/>
    <n v="55"/>
    <n v="0.15"/>
    <n v="166.34"/>
    <x v="0"/>
    <n v="275"/>
    <n v="41.25"/>
    <x v="32"/>
    <x v="486"/>
    <n v="0"/>
  </r>
  <r>
    <x v="487"/>
    <d v="2029-08-14T00:00:00"/>
    <s v="2029"/>
    <x v="4"/>
    <s v="Anitha"/>
    <x v="0"/>
    <x v="3"/>
    <x v="3"/>
    <x v="4"/>
    <n v="7"/>
    <n v="799"/>
    <n v="0.15"/>
    <n v="4652.8"/>
    <x v="1"/>
    <n v="5593"/>
    <n v="838.94999999999993"/>
    <x v="32"/>
    <x v="487"/>
    <n v="0"/>
  </r>
  <r>
    <x v="488"/>
    <d v="2029-08-15T00:00:00"/>
    <s v="2029"/>
    <x v="4"/>
    <s v="Rahul"/>
    <x v="1"/>
    <x v="5"/>
    <x v="3"/>
    <x v="8"/>
    <n v="2"/>
    <n v="1199"/>
    <n v="0.2"/>
    <n v="1649.87"/>
    <x v="1"/>
    <n v="2398"/>
    <n v="479.6"/>
    <x v="32"/>
    <x v="488"/>
    <n v="0"/>
  </r>
  <r>
    <x v="489"/>
    <d v="2029-08-16T00:00:00"/>
    <s v="2029"/>
    <x v="4"/>
    <s v="Shahina"/>
    <x v="1"/>
    <x v="3"/>
    <x v="1"/>
    <x v="6"/>
    <n v="6"/>
    <n v="1499"/>
    <n v="0.2"/>
    <n v="7272.12"/>
    <x v="2"/>
    <n v="8994"/>
    <n v="1798.8000000000002"/>
    <x v="32"/>
    <x v="489"/>
    <n v="0"/>
  </r>
  <r>
    <x v="490"/>
    <d v="2029-08-17T00:00:00"/>
    <s v="2029"/>
    <x v="4"/>
    <s v="Divya"/>
    <x v="0"/>
    <x v="2"/>
    <x v="2"/>
    <x v="2"/>
    <n v="6"/>
    <n v="1499"/>
    <n v="0.1"/>
    <n v="5442.94"/>
    <x v="4"/>
    <n v="8994"/>
    <n v="899.40000000000009"/>
    <x v="32"/>
    <x v="490"/>
    <n v="0"/>
  </r>
  <r>
    <x v="491"/>
    <d v="2029-08-18T00:00:00"/>
    <s v="2029"/>
    <x v="4"/>
    <s v="Anitha"/>
    <x v="1"/>
    <x v="2"/>
    <x v="2"/>
    <x v="5"/>
    <n v="8"/>
    <n v="699"/>
    <n v="0.05"/>
    <n v="4034.2"/>
    <x v="0"/>
    <n v="5592"/>
    <n v="279.60000000000002"/>
    <x v="32"/>
    <x v="491"/>
    <n v="0"/>
  </r>
  <r>
    <x v="492"/>
    <d v="2029-08-19T00:00:00"/>
    <s v="2029"/>
    <x v="4"/>
    <s v="Shahina"/>
    <x v="0"/>
    <x v="5"/>
    <x v="0"/>
    <x v="0"/>
    <n v="7"/>
    <n v="420"/>
    <n v="0.15"/>
    <n v="1789.93"/>
    <x v="2"/>
    <n v="2940"/>
    <n v="441"/>
    <x v="32"/>
    <x v="492"/>
    <n v="0"/>
  </r>
  <r>
    <x v="493"/>
    <d v="2029-08-20T00:00:00"/>
    <s v="2029"/>
    <x v="4"/>
    <s v="Arun"/>
    <x v="0"/>
    <x v="4"/>
    <x v="2"/>
    <x v="7"/>
    <n v="6"/>
    <n v="1299"/>
    <n v="0.15"/>
    <n v="4988.24"/>
    <x v="0"/>
    <n v="7794"/>
    <n v="1169.0999999999999"/>
    <x v="32"/>
    <x v="493"/>
    <n v="0"/>
  </r>
  <r>
    <x v="494"/>
    <d v="2029-08-21T00:00:00"/>
    <s v="2029"/>
    <x v="4"/>
    <s v="Arun"/>
    <x v="1"/>
    <x v="0"/>
    <x v="3"/>
    <x v="4"/>
    <n v="4"/>
    <n v="799"/>
    <n v="0.1"/>
    <n v="2214.71"/>
    <x v="1"/>
    <n v="3196"/>
    <n v="319.60000000000002"/>
    <x v="32"/>
    <x v="494"/>
    <n v="0"/>
  </r>
  <r>
    <x v="495"/>
    <d v="2029-08-22T00:00:00"/>
    <s v="2029"/>
    <x v="4"/>
    <s v="Priya"/>
    <x v="1"/>
    <x v="3"/>
    <x v="0"/>
    <x v="12"/>
    <n v="3"/>
    <n v="55"/>
    <n v="0.05"/>
    <n v="122.46"/>
    <x v="3"/>
    <n v="165"/>
    <n v="8.25"/>
    <x v="32"/>
    <x v="495"/>
    <n v="0"/>
  </r>
  <r>
    <x v="496"/>
    <d v="2029-08-23T00:00:00"/>
    <s v="2029"/>
    <x v="4"/>
    <s v="Suresh"/>
    <x v="1"/>
    <x v="0"/>
    <x v="1"/>
    <x v="11"/>
    <n v="6"/>
    <n v="899"/>
    <n v="0.05"/>
    <n v="3473.98"/>
    <x v="3"/>
    <n v="5394"/>
    <n v="269.7"/>
    <x v="32"/>
    <x v="496"/>
    <n v="0"/>
  </r>
  <r>
    <x v="497"/>
    <d v="2029-08-24T00:00:00"/>
    <s v="2029"/>
    <x v="4"/>
    <s v="Divya"/>
    <x v="1"/>
    <x v="2"/>
    <x v="2"/>
    <x v="5"/>
    <n v="8"/>
    <n v="699"/>
    <n v="0.15"/>
    <n v="3356.29"/>
    <x v="1"/>
    <n v="5592"/>
    <n v="838.8"/>
    <x v="32"/>
    <x v="49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6DF413-B942-40F0-BBE8-8111C31A141F}"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5:A16" firstHeaderRow="1" firstDataRow="1" firstDataCol="0"/>
  <pivotFields count="19">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0" showAll="0"/>
  </pivotFields>
  <rowItems count="1">
    <i/>
  </rowItems>
  <colItems count="1">
    <i/>
  </colItems>
  <dataFields count="1">
    <dataField name="Sum of Profi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0CB344-62E6-4EE2-8F38-59F654208589}"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9">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4">
        <item x="30"/>
        <item x="17"/>
        <item x="14"/>
        <item x="13"/>
        <item x="27"/>
        <item x="5"/>
        <item x="21"/>
        <item x="0"/>
        <item x="15"/>
        <item x="6"/>
        <item x="1"/>
        <item x="26"/>
        <item x="11"/>
        <item x="29"/>
        <item x="18"/>
        <item x="10"/>
        <item x="19"/>
        <item x="4"/>
        <item x="23"/>
        <item x="24"/>
        <item x="16"/>
        <item x="25"/>
        <item x="28"/>
        <item x="12"/>
        <item x="9"/>
        <item x="2"/>
        <item x="22"/>
        <item x="3"/>
        <item x="20"/>
        <item x="8"/>
        <item x="7"/>
        <item x="31"/>
        <item x="32"/>
        <item t="default"/>
      </items>
    </pivotField>
    <pivotField showAll="0"/>
    <pivotField numFmtId="10" showAll="0"/>
  </pivotFields>
  <rowItems count="1">
    <i/>
  </rowItems>
  <colItems count="1">
    <i/>
  </colItems>
  <dataFields count="1">
    <dataField name="Total Sales" fld="16"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97E11E-862A-4E1F-BD16-82C00AC1E13D}"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D39:E52" firstHeaderRow="1" firstDataRow="1" firstDataCol="1"/>
  <pivotFields count="19">
    <pivotField showAll="0"/>
    <pivotField numFmtId="14" showAll="0"/>
    <pivotField showAll="0"/>
    <pivotField axis="axisRow" showAll="0">
      <items count="13">
        <item x="9"/>
        <item x="10"/>
        <item x="11"/>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items count="6">
        <item x="2"/>
        <item x="3"/>
        <item x="4"/>
        <item x="0"/>
        <item x="1"/>
        <item t="default"/>
      </items>
    </pivotField>
    <pivotField showAll="0"/>
    <pivotField showAll="0"/>
    <pivotField dataField="1" showAll="0">
      <items count="34">
        <item x="30"/>
        <item x="17"/>
        <item x="14"/>
        <item x="13"/>
        <item x="27"/>
        <item x="5"/>
        <item x="21"/>
        <item x="0"/>
        <item x="15"/>
        <item x="6"/>
        <item x="1"/>
        <item x="26"/>
        <item x="11"/>
        <item x="29"/>
        <item x="18"/>
        <item x="10"/>
        <item x="19"/>
        <item x="4"/>
        <item x="23"/>
        <item x="24"/>
        <item x="16"/>
        <item x="25"/>
        <item x="28"/>
        <item x="12"/>
        <item x="9"/>
        <item x="2"/>
        <item x="22"/>
        <item x="3"/>
        <item x="20"/>
        <item x="8"/>
        <item x="7"/>
        <item x="31"/>
        <item x="32"/>
        <item t="default"/>
      </items>
    </pivotField>
    <pivotField showAll="0"/>
    <pivotField numFmtId="10" showAll="0"/>
  </pivotFields>
  <rowFields count="1">
    <field x="3"/>
  </rowFields>
  <rowItems count="13">
    <i>
      <x/>
    </i>
    <i>
      <x v="1"/>
    </i>
    <i>
      <x v="2"/>
    </i>
    <i>
      <x v="3"/>
    </i>
    <i>
      <x v="4"/>
    </i>
    <i>
      <x v="5"/>
    </i>
    <i>
      <x v="6"/>
    </i>
    <i>
      <x v="7"/>
    </i>
    <i>
      <x v="8"/>
    </i>
    <i>
      <x v="9"/>
    </i>
    <i>
      <x v="10"/>
    </i>
    <i>
      <x v="11"/>
    </i>
    <i t="grand">
      <x/>
    </i>
  </rowItems>
  <colItems count="1">
    <i/>
  </colItems>
  <dataFields count="1">
    <dataField name="Count of Net_Sales" fld="16" subtotal="count" baseField="0" baseItem="0"/>
  </dataFields>
  <chartFormats count="26">
    <chartFormat chart="0" format="0" series="1">
      <pivotArea type="data" outline="0" fieldPosition="0">
        <references count="1">
          <reference field="4294967294" count="1" selected="0">
            <x v="0"/>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3" count="1" selected="0">
            <x v="0"/>
          </reference>
        </references>
      </pivotArea>
    </chartFormat>
    <chartFormat chart="5" format="16">
      <pivotArea type="data" outline="0" fieldPosition="0">
        <references count="2">
          <reference field="4294967294" count="1" selected="0">
            <x v="0"/>
          </reference>
          <reference field="3" count="1" selected="0">
            <x v="1"/>
          </reference>
        </references>
      </pivotArea>
    </chartFormat>
    <chartFormat chart="5" format="17">
      <pivotArea type="data" outline="0" fieldPosition="0">
        <references count="2">
          <reference field="4294967294" count="1" selected="0">
            <x v="0"/>
          </reference>
          <reference field="3" count="1" selected="0">
            <x v="2"/>
          </reference>
        </references>
      </pivotArea>
    </chartFormat>
    <chartFormat chart="5" format="18">
      <pivotArea type="data" outline="0" fieldPosition="0">
        <references count="2">
          <reference field="4294967294" count="1" selected="0">
            <x v="0"/>
          </reference>
          <reference field="3" count="1" selected="0">
            <x v="3"/>
          </reference>
        </references>
      </pivotArea>
    </chartFormat>
    <chartFormat chart="5" format="19">
      <pivotArea type="data" outline="0" fieldPosition="0">
        <references count="2">
          <reference field="4294967294" count="1" selected="0">
            <x v="0"/>
          </reference>
          <reference field="3" count="1" selected="0">
            <x v="4"/>
          </reference>
        </references>
      </pivotArea>
    </chartFormat>
    <chartFormat chart="5" format="20">
      <pivotArea type="data" outline="0" fieldPosition="0">
        <references count="2">
          <reference field="4294967294" count="1" selected="0">
            <x v="0"/>
          </reference>
          <reference field="3" count="1" selected="0">
            <x v="5"/>
          </reference>
        </references>
      </pivotArea>
    </chartFormat>
    <chartFormat chart="5" format="21">
      <pivotArea type="data" outline="0" fieldPosition="0">
        <references count="2">
          <reference field="4294967294" count="1" selected="0">
            <x v="0"/>
          </reference>
          <reference field="3" count="1" selected="0">
            <x v="6"/>
          </reference>
        </references>
      </pivotArea>
    </chartFormat>
    <chartFormat chart="5" format="22">
      <pivotArea type="data" outline="0" fieldPosition="0">
        <references count="2">
          <reference field="4294967294" count="1" selected="0">
            <x v="0"/>
          </reference>
          <reference field="3" count="1" selected="0">
            <x v="7"/>
          </reference>
        </references>
      </pivotArea>
    </chartFormat>
    <chartFormat chart="5" format="23">
      <pivotArea type="data" outline="0" fieldPosition="0">
        <references count="2">
          <reference field="4294967294" count="1" selected="0">
            <x v="0"/>
          </reference>
          <reference field="3" count="1" selected="0">
            <x v="8"/>
          </reference>
        </references>
      </pivotArea>
    </chartFormat>
    <chartFormat chart="5" format="24">
      <pivotArea type="data" outline="0" fieldPosition="0">
        <references count="2">
          <reference field="4294967294" count="1" selected="0">
            <x v="0"/>
          </reference>
          <reference field="3" count="1" selected="0">
            <x v="9"/>
          </reference>
        </references>
      </pivotArea>
    </chartFormat>
    <chartFormat chart="5" format="25">
      <pivotArea type="data" outline="0" fieldPosition="0">
        <references count="2">
          <reference field="4294967294" count="1" selected="0">
            <x v="0"/>
          </reference>
          <reference field="3" count="1" selected="0">
            <x v="10"/>
          </reference>
        </references>
      </pivotArea>
    </chartFormat>
    <chartFormat chart="5" format="26">
      <pivotArea type="data" outline="0" fieldPosition="0">
        <references count="2">
          <reference field="4294967294" count="1" selected="0">
            <x v="0"/>
          </reference>
          <reference field="3" count="1" selected="0">
            <x v="11"/>
          </reference>
        </references>
      </pivotArea>
    </chartFormat>
    <chartFormat chart="0" format="13">
      <pivotArea type="data" outline="0" fieldPosition="0">
        <references count="2">
          <reference field="4294967294" count="1" selected="0">
            <x v="0"/>
          </reference>
          <reference field="3" count="1" selected="0">
            <x v="0"/>
          </reference>
        </references>
      </pivotArea>
    </chartFormat>
    <chartFormat chart="0" format="14">
      <pivotArea type="data" outline="0" fieldPosition="0">
        <references count="2">
          <reference field="4294967294" count="1" selected="0">
            <x v="0"/>
          </reference>
          <reference field="3" count="1" selected="0">
            <x v="1"/>
          </reference>
        </references>
      </pivotArea>
    </chartFormat>
    <chartFormat chart="0" format="15">
      <pivotArea type="data" outline="0" fieldPosition="0">
        <references count="2">
          <reference field="4294967294" count="1" selected="0">
            <x v="0"/>
          </reference>
          <reference field="3" count="1" selected="0">
            <x v="2"/>
          </reference>
        </references>
      </pivotArea>
    </chartFormat>
    <chartFormat chart="0" format="16">
      <pivotArea type="data" outline="0" fieldPosition="0">
        <references count="2">
          <reference field="4294967294" count="1" selected="0">
            <x v="0"/>
          </reference>
          <reference field="3" count="1" selected="0">
            <x v="3"/>
          </reference>
        </references>
      </pivotArea>
    </chartFormat>
    <chartFormat chart="0" format="17">
      <pivotArea type="data" outline="0" fieldPosition="0">
        <references count="2">
          <reference field="4294967294" count="1" selected="0">
            <x v="0"/>
          </reference>
          <reference field="3" count="1" selected="0">
            <x v="4"/>
          </reference>
        </references>
      </pivotArea>
    </chartFormat>
    <chartFormat chart="0" format="18">
      <pivotArea type="data" outline="0" fieldPosition="0">
        <references count="2">
          <reference field="4294967294" count="1" selected="0">
            <x v="0"/>
          </reference>
          <reference field="3" count="1" selected="0">
            <x v="5"/>
          </reference>
        </references>
      </pivotArea>
    </chartFormat>
    <chartFormat chart="0" format="19">
      <pivotArea type="data" outline="0" fieldPosition="0">
        <references count="2">
          <reference field="4294967294" count="1" selected="0">
            <x v="0"/>
          </reference>
          <reference field="3" count="1" selected="0">
            <x v="6"/>
          </reference>
        </references>
      </pivotArea>
    </chartFormat>
    <chartFormat chart="0" format="20">
      <pivotArea type="data" outline="0" fieldPosition="0">
        <references count="2">
          <reference field="4294967294" count="1" selected="0">
            <x v="0"/>
          </reference>
          <reference field="3" count="1" selected="0">
            <x v="7"/>
          </reference>
        </references>
      </pivotArea>
    </chartFormat>
    <chartFormat chart="0" format="21">
      <pivotArea type="data" outline="0" fieldPosition="0">
        <references count="2">
          <reference field="4294967294" count="1" selected="0">
            <x v="0"/>
          </reference>
          <reference field="3" count="1" selected="0">
            <x v="8"/>
          </reference>
        </references>
      </pivotArea>
    </chartFormat>
    <chartFormat chart="0" format="22">
      <pivotArea type="data" outline="0" fieldPosition="0">
        <references count="2">
          <reference field="4294967294" count="1" selected="0">
            <x v="0"/>
          </reference>
          <reference field="3" count="1" selected="0">
            <x v="9"/>
          </reference>
        </references>
      </pivotArea>
    </chartFormat>
    <chartFormat chart="0" format="23">
      <pivotArea type="data" outline="0" fieldPosition="0">
        <references count="2">
          <reference field="4294967294" count="1" selected="0">
            <x v="0"/>
          </reference>
          <reference field="3" count="1" selected="0">
            <x v="10"/>
          </reference>
        </references>
      </pivotArea>
    </chartFormat>
    <chartFormat chart="0" format="24">
      <pivotArea type="data" outline="0" fieldPosition="0">
        <references count="2">
          <reference field="4294967294" count="1" selected="0">
            <x v="0"/>
          </reference>
          <reference field="3"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C04EB9-5EFB-4EBA-BE3E-67580053836B}"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56:B67" firstHeaderRow="1" firstDataRow="1" firstDataCol="1"/>
  <pivotFields count="19">
    <pivotField showAll="0"/>
    <pivotField numFmtId="14" showAll="0"/>
    <pivotField showAll="0"/>
    <pivotField showAll="0"/>
    <pivotField showAll="0"/>
    <pivotField showAll="0">
      <items count="3">
        <item x="1"/>
        <item x="0"/>
        <item t="default"/>
      </items>
    </pivotField>
    <pivotField showAll="0"/>
    <pivotField showAll="0"/>
    <pivotField axis="axisRow" showAll="0" measureFilter="1">
      <items count="21">
        <item x="7"/>
        <item x="17"/>
        <item x="2"/>
        <item x="6"/>
        <item x="18"/>
        <item x="3"/>
        <item x="11"/>
        <item x="8"/>
        <item x="14"/>
        <item x="9"/>
        <item x="13"/>
        <item x="16"/>
        <item x="5"/>
        <item x="12"/>
        <item x="10"/>
        <item x="4"/>
        <item x="19"/>
        <item x="15"/>
        <item x="0"/>
        <item x="1"/>
        <item t="default"/>
      </items>
    </pivotField>
    <pivotField showAll="0"/>
    <pivotField showAll="0"/>
    <pivotField showAll="0"/>
    <pivotField showAll="0"/>
    <pivotField showAll="0"/>
    <pivotField showAll="0"/>
    <pivotField showAll="0"/>
    <pivotField dataField="1" showAll="0">
      <items count="34">
        <item x="30"/>
        <item x="17"/>
        <item x="14"/>
        <item x="13"/>
        <item x="27"/>
        <item x="5"/>
        <item x="21"/>
        <item x="0"/>
        <item x="15"/>
        <item x="6"/>
        <item x="1"/>
        <item x="26"/>
        <item x="11"/>
        <item x="29"/>
        <item x="18"/>
        <item x="10"/>
        <item x="19"/>
        <item x="4"/>
        <item x="23"/>
        <item x="24"/>
        <item x="16"/>
        <item x="25"/>
        <item x="28"/>
        <item x="12"/>
        <item x="9"/>
        <item x="2"/>
        <item x="22"/>
        <item x="3"/>
        <item x="20"/>
        <item x="8"/>
        <item x="7"/>
        <item x="31"/>
        <item x="32"/>
        <item t="default"/>
      </items>
    </pivotField>
    <pivotField showAll="0"/>
    <pivotField numFmtId="10" showAll="0"/>
  </pivotFields>
  <rowFields count="1">
    <field x="8"/>
  </rowFields>
  <rowItems count="11">
    <i>
      <x/>
    </i>
    <i>
      <x v="2"/>
    </i>
    <i>
      <x v="3"/>
    </i>
    <i>
      <x v="5"/>
    </i>
    <i>
      <x v="7"/>
    </i>
    <i>
      <x v="11"/>
    </i>
    <i>
      <x v="12"/>
    </i>
    <i>
      <x v="14"/>
    </i>
    <i>
      <x v="18"/>
    </i>
    <i>
      <x v="19"/>
    </i>
    <i t="grand">
      <x/>
    </i>
  </rowItems>
  <colItems count="1">
    <i/>
  </colItems>
  <dataFields count="1">
    <dataField name="Count of Net_Sales" fld="16"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A609C4-3D0C-4756-915D-0F95D862204B}"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E4:F9" firstHeaderRow="1" firstDataRow="1" firstDataCol="1"/>
  <pivotFields count="19">
    <pivotField showAll="0"/>
    <pivotField numFmtId="14" showAll="0"/>
    <pivotField showAll="0"/>
    <pivotField showAll="0"/>
    <pivotField showAll="0"/>
    <pivotField showAll="0"/>
    <pivotField showAll="0"/>
    <pivotField axis="axisRow" showAll="0">
      <items count="5">
        <item x="3"/>
        <item x="1"/>
        <item x="0"/>
        <item x="2"/>
        <item t="default"/>
      </items>
    </pivotField>
    <pivotField showAll="0"/>
    <pivotField showAll="0"/>
    <pivotField showAll="0"/>
    <pivotField showAll="0"/>
    <pivotField showAll="0"/>
    <pivotField showAll="0"/>
    <pivotField showAll="0"/>
    <pivotField showAll="0"/>
    <pivotField dataField="1" showAll="0">
      <items count="34">
        <item x="30"/>
        <item x="17"/>
        <item x="14"/>
        <item x="13"/>
        <item x="27"/>
        <item x="5"/>
        <item x="21"/>
        <item x="0"/>
        <item x="15"/>
        <item x="6"/>
        <item x="1"/>
        <item x="26"/>
        <item x="11"/>
        <item x="29"/>
        <item x="18"/>
        <item x="10"/>
        <item x="19"/>
        <item x="4"/>
        <item x="23"/>
        <item x="24"/>
        <item x="16"/>
        <item x="25"/>
        <item x="28"/>
        <item x="12"/>
        <item x="9"/>
        <item x="2"/>
        <item x="22"/>
        <item x="3"/>
        <item x="20"/>
        <item x="8"/>
        <item x="7"/>
        <item x="31"/>
        <item x="32"/>
        <item t="default"/>
      </items>
    </pivotField>
    <pivotField showAll="0"/>
    <pivotField numFmtId="10" showAll="0"/>
  </pivotFields>
  <rowFields count="1">
    <field x="7"/>
  </rowFields>
  <rowItems count="5">
    <i>
      <x/>
    </i>
    <i>
      <x v="1"/>
    </i>
    <i>
      <x v="2"/>
    </i>
    <i>
      <x v="3"/>
    </i>
    <i t="grand">
      <x/>
    </i>
  </rowItems>
  <colItems count="1">
    <i/>
  </colItems>
  <dataFields count="1">
    <dataField name="Count of Net_Sales" fld="16"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431B70-9CB3-463D-BB0D-A2EA416B698E}"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A10" firstHeaderRow="1" firstDataRow="1" firstDataCol="0"/>
  <pivotFields count="19">
    <pivotField dataField="1" showAll="0">
      <items count="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8EB27E-AC62-4A31-8F34-8B27304DA123}"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7:A78" firstHeaderRow="1" firstDataRow="1" firstDataCol="0"/>
  <pivotFields count="19">
    <pivotField dataField="1" showAll="0">
      <items count="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s>
  <rowItems count="1">
    <i/>
  </rowItems>
  <colItems count="1">
    <i/>
  </colItems>
  <dataFields count="1">
    <dataField name="Count of Order_ID" fld="0" subtotal="count"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7F2D07-9F6F-46B0-A516-C6F939D90729}"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21:E29" firstHeaderRow="1" firstDataRow="1" firstDataCol="1"/>
  <pivotFields count="19">
    <pivotField showAll="0"/>
    <pivotField numFmtId="14" showAll="0"/>
    <pivotField showAll="0"/>
    <pivotField showAll="0"/>
    <pivotField showAll="0"/>
    <pivotField showAll="0"/>
    <pivotField axis="axisRow" showAll="0">
      <items count="8">
        <item x="1"/>
        <item x="0"/>
        <item x="4"/>
        <item x="5"/>
        <item x="3"/>
        <item x="2"/>
        <item x="6"/>
        <item t="default"/>
      </items>
    </pivotField>
    <pivotField showAll="0"/>
    <pivotField showAll="0"/>
    <pivotField showAll="0"/>
    <pivotField showAll="0"/>
    <pivotField showAll="0"/>
    <pivotField showAll="0"/>
    <pivotField showAll="0"/>
    <pivotField showAll="0"/>
    <pivotField showAll="0"/>
    <pivotField dataField="1" showAll="0">
      <items count="34">
        <item x="30"/>
        <item x="17"/>
        <item x="14"/>
        <item x="13"/>
        <item x="27"/>
        <item x="5"/>
        <item x="21"/>
        <item x="0"/>
        <item x="15"/>
        <item x="6"/>
        <item x="1"/>
        <item x="26"/>
        <item x="11"/>
        <item x="29"/>
        <item x="18"/>
        <item x="10"/>
        <item x="19"/>
        <item x="4"/>
        <item x="23"/>
        <item x="24"/>
        <item x="16"/>
        <item x="25"/>
        <item x="28"/>
        <item x="12"/>
        <item x="9"/>
        <item x="2"/>
        <item x="22"/>
        <item x="3"/>
        <item x="20"/>
        <item x="8"/>
        <item x="7"/>
        <item x="31"/>
        <item x="32"/>
        <item t="default"/>
      </items>
    </pivotField>
    <pivotField showAll="0"/>
    <pivotField numFmtId="10" showAll="0"/>
  </pivotFields>
  <rowFields count="1">
    <field x="6"/>
  </rowFields>
  <rowItems count="8">
    <i>
      <x/>
    </i>
    <i>
      <x v="1"/>
    </i>
    <i>
      <x v="2"/>
    </i>
    <i>
      <x v="3"/>
    </i>
    <i>
      <x v="4"/>
    </i>
    <i>
      <x v="5"/>
    </i>
    <i>
      <x v="6"/>
    </i>
    <i t="grand">
      <x/>
    </i>
  </rowItems>
  <colItems count="1">
    <i/>
  </colItems>
  <dataFields count="1">
    <dataField name="Count of Net_Sales" fld="16"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0</v>
    <v>3</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25A7632-2F79-4EE1-A801-3CE970B04212}" sourceName="Category">
  <pivotTables>
    <pivotTable tabId="10" name="PivotTable8"/>
  </pivotTables>
  <data>
    <tabular pivotCacheId="1821464866">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079461F-4B10-4589-A92F-AC07D8A16684}" sourceName="City">
  <pivotTables>
    <pivotTable tabId="10" name="PivotTable9"/>
  </pivotTables>
  <data>
    <tabular pivotCacheId="1821464866">
      <items count="7">
        <i x="1" s="1"/>
        <i x="0" s="1"/>
        <i x="4" s="1"/>
        <i x="5" s="1"/>
        <i x="3" s="1"/>
        <i x="2" s="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D8F542D0-1862-4B8D-9EA9-B9FBF094C410}" sourceName="Payment_Mode">
  <pivotTables>
    <pivotTable tabId="10" name="PivotTable10"/>
  </pivotTables>
  <data>
    <tabular pivotCacheId="1821464866">
      <items count="5">
        <i x="2" s="1"/>
        <i x="3" s="1"/>
        <i x="4"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CADDCD1-D1D9-412F-B8A1-A2EDE1B3F90F}" sourceName="Gender">
  <pivotTables>
    <pivotTable tabId="10" name="PivotTable11"/>
  </pivotTables>
  <data>
    <tabular pivotCacheId="182146486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1745B3F-854A-4212-8A4D-CBD0CC36793C}" cache="Slicer_Category" caption="Category" rowHeight="234950"/>
  <slicer name="City" xr10:uid="{A9E0F622-B7E3-4289-8A01-AC6E8030B1A2}" cache="Slicer_City" caption="City" rowHeight="234950"/>
  <slicer name="Payment_Mode" xr10:uid="{90471DFA-F972-4585-92A6-DAEF31C9BB78}" cache="Slicer_Payment_Mode" caption="Payment_Mode" rowHeight="234950"/>
  <slicer name="Gender" xr10:uid="{97206874-BA61-47DC-87A7-AA8D4B6596EB}"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EB7AB6F9-5EB9-4512-987A-1EA29ABE1245}" cache="Slicer_Category" caption="Category" style="SlicerStyleLight4" rowHeight="234950"/>
  <slicer name="City 1" xr10:uid="{6AF652A4-3E25-4DC5-B262-896D989FD930}" cache="Slicer_City" caption="City" style="SlicerStyleLight4" rowHeight="234950"/>
  <slicer name="Payment_Mode 1" xr10:uid="{78006B3F-160E-4905-BCD4-58005E7165CF}" cache="Slicer_Payment_Mode" caption="Payment_Mode" style="SlicerStyleLight4" rowHeight="234950"/>
  <slicer name="Gender 1" xr10:uid="{A16AB6ED-D80B-4967-A6F8-E13DB56345A7}" cache="Slicer_Gender" caption="Gender" style="SlicerStyleLigh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F5A77-2F51-4BD9-B2F6-98F8D371CB60}">
  <dimension ref="A1:P501"/>
  <sheetViews>
    <sheetView topLeftCell="A475" workbookViewId="0">
      <selection activeCell="B1" sqref="B1:B501"/>
    </sheetView>
  </sheetViews>
  <sheetFormatPr defaultRowHeight="14.4" x14ac:dyDescent="0.3"/>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13</v>
      </c>
      <c r="C2" t="s">
        <v>14</v>
      </c>
      <c r="D2" t="s">
        <v>15</v>
      </c>
      <c r="E2" t="s">
        <v>16</v>
      </c>
      <c r="F2" t="s">
        <v>17</v>
      </c>
      <c r="G2" t="s">
        <v>18</v>
      </c>
      <c r="H2">
        <v>4</v>
      </c>
      <c r="I2">
        <v>420</v>
      </c>
      <c r="J2">
        <v>0.05</v>
      </c>
      <c r="K2">
        <v>1295.18</v>
      </c>
      <c r="L2" t="s">
        <v>19</v>
      </c>
    </row>
    <row r="3" spans="1:12" x14ac:dyDescent="0.3">
      <c r="A3" t="s">
        <v>20</v>
      </c>
      <c r="B3" t="s">
        <v>21</v>
      </c>
      <c r="C3" t="s">
        <v>22</v>
      </c>
      <c r="D3" t="s">
        <v>23</v>
      </c>
      <c r="E3" t="s">
        <v>24</v>
      </c>
      <c r="F3" t="s">
        <v>25</v>
      </c>
      <c r="G3" t="s">
        <v>26</v>
      </c>
      <c r="H3">
        <v>4</v>
      </c>
      <c r="I3">
        <v>599</v>
      </c>
      <c r="J3">
        <v>0.05</v>
      </c>
      <c r="K3">
        <v>1681.05</v>
      </c>
      <c r="L3" t="s">
        <v>27</v>
      </c>
    </row>
    <row r="4" spans="1:12" x14ac:dyDescent="0.3">
      <c r="A4" t="s">
        <v>28</v>
      </c>
      <c r="B4" t="s">
        <v>29</v>
      </c>
      <c r="C4" t="s">
        <v>30</v>
      </c>
      <c r="D4" t="s">
        <v>23</v>
      </c>
      <c r="E4" t="s">
        <v>31</v>
      </c>
      <c r="F4" t="s">
        <v>32</v>
      </c>
      <c r="G4" t="s">
        <v>33</v>
      </c>
      <c r="H4">
        <v>5</v>
      </c>
      <c r="I4">
        <v>1499</v>
      </c>
      <c r="J4">
        <v>0</v>
      </c>
      <c r="K4">
        <v>5828.43</v>
      </c>
      <c r="L4" t="s">
        <v>34</v>
      </c>
    </row>
    <row r="5" spans="1:12" x14ac:dyDescent="0.3">
      <c r="A5" t="s">
        <v>35</v>
      </c>
      <c r="B5" t="s">
        <v>36</v>
      </c>
      <c r="C5" t="s">
        <v>37</v>
      </c>
      <c r="D5" t="s">
        <v>23</v>
      </c>
      <c r="E5" t="s">
        <v>38</v>
      </c>
      <c r="F5" t="s">
        <v>39</v>
      </c>
      <c r="G5" t="s">
        <v>40</v>
      </c>
      <c r="H5">
        <v>6</v>
      </c>
      <c r="I5">
        <v>1599</v>
      </c>
      <c r="J5">
        <v>0</v>
      </c>
      <c r="K5">
        <v>5543.64</v>
      </c>
      <c r="L5" t="s">
        <v>27</v>
      </c>
    </row>
    <row r="6" spans="1:12" x14ac:dyDescent="0.3">
      <c r="A6" t="s">
        <v>41</v>
      </c>
      <c r="B6" t="s">
        <v>42</v>
      </c>
      <c r="C6" t="s">
        <v>43</v>
      </c>
      <c r="D6" t="s">
        <v>23</v>
      </c>
      <c r="E6" t="s">
        <v>24</v>
      </c>
      <c r="F6" t="s">
        <v>32</v>
      </c>
      <c r="G6" t="s">
        <v>33</v>
      </c>
      <c r="H6">
        <v>2</v>
      </c>
      <c r="I6">
        <v>1499</v>
      </c>
      <c r="J6">
        <v>0.15</v>
      </c>
      <c r="K6">
        <v>1719.77</v>
      </c>
      <c r="L6" t="s">
        <v>44</v>
      </c>
    </row>
    <row r="7" spans="1:12" x14ac:dyDescent="0.3">
      <c r="A7" t="s">
        <v>45</v>
      </c>
      <c r="B7" t="s">
        <v>46</v>
      </c>
      <c r="C7" t="s">
        <v>22</v>
      </c>
      <c r="D7" t="s">
        <v>23</v>
      </c>
      <c r="E7" t="s">
        <v>47</v>
      </c>
      <c r="F7" t="s">
        <v>39</v>
      </c>
      <c r="G7" t="s">
        <v>48</v>
      </c>
      <c r="H7">
        <v>1</v>
      </c>
      <c r="I7">
        <v>799</v>
      </c>
      <c r="J7">
        <v>0.05</v>
      </c>
      <c r="K7">
        <v>624.75</v>
      </c>
      <c r="L7" t="s">
        <v>27</v>
      </c>
    </row>
    <row r="8" spans="1:12" x14ac:dyDescent="0.3">
      <c r="A8" t="s">
        <v>49</v>
      </c>
      <c r="B8" t="s">
        <v>50</v>
      </c>
      <c r="C8" t="s">
        <v>14</v>
      </c>
      <c r="D8" t="s">
        <v>23</v>
      </c>
      <c r="E8" t="s">
        <v>38</v>
      </c>
      <c r="F8" t="s">
        <v>32</v>
      </c>
      <c r="G8" t="s">
        <v>51</v>
      </c>
      <c r="H8">
        <v>3</v>
      </c>
      <c r="I8">
        <v>699</v>
      </c>
      <c r="J8">
        <v>0.1</v>
      </c>
      <c r="K8">
        <v>1376.85</v>
      </c>
      <c r="L8" t="s">
        <v>44</v>
      </c>
    </row>
    <row r="9" spans="1:12" x14ac:dyDescent="0.3">
      <c r="A9" t="s">
        <v>52</v>
      </c>
      <c r="B9" t="s">
        <v>53</v>
      </c>
      <c r="C9" t="s">
        <v>14</v>
      </c>
      <c r="D9" t="s">
        <v>15</v>
      </c>
      <c r="E9" t="s">
        <v>47</v>
      </c>
      <c r="F9" t="s">
        <v>39</v>
      </c>
      <c r="G9" t="s">
        <v>40</v>
      </c>
      <c r="H9">
        <v>8</v>
      </c>
      <c r="I9">
        <v>1599</v>
      </c>
      <c r="J9">
        <v>0.15</v>
      </c>
      <c r="K9">
        <v>8071.55</v>
      </c>
      <c r="L9" t="s">
        <v>19</v>
      </c>
    </row>
    <row r="10" spans="1:12" x14ac:dyDescent="0.3">
      <c r="A10" t="s">
        <v>54</v>
      </c>
      <c r="B10" t="s">
        <v>55</v>
      </c>
      <c r="C10" t="s">
        <v>43</v>
      </c>
      <c r="D10" t="s">
        <v>15</v>
      </c>
      <c r="E10" t="s">
        <v>31</v>
      </c>
      <c r="F10" t="s">
        <v>25</v>
      </c>
      <c r="G10" t="s">
        <v>56</v>
      </c>
      <c r="H10">
        <v>7</v>
      </c>
      <c r="I10">
        <v>1499</v>
      </c>
      <c r="J10">
        <v>0.1</v>
      </c>
      <c r="K10">
        <v>5979.51</v>
      </c>
      <c r="L10" t="s">
        <v>19</v>
      </c>
    </row>
    <row r="11" spans="1:12" x14ac:dyDescent="0.3">
      <c r="A11" t="s">
        <v>57</v>
      </c>
      <c r="B11" t="s">
        <v>58</v>
      </c>
      <c r="C11" t="s">
        <v>30</v>
      </c>
      <c r="D11" t="s">
        <v>23</v>
      </c>
      <c r="E11" t="s">
        <v>59</v>
      </c>
      <c r="F11" t="s">
        <v>32</v>
      </c>
      <c r="G11" t="s">
        <v>60</v>
      </c>
      <c r="H11">
        <v>5</v>
      </c>
      <c r="I11">
        <v>1299</v>
      </c>
      <c r="J11">
        <v>0.05</v>
      </c>
      <c r="K11">
        <v>4052.8</v>
      </c>
      <c r="L11" t="s">
        <v>19</v>
      </c>
    </row>
    <row r="12" spans="1:12" x14ac:dyDescent="0.3">
      <c r="A12" t="s">
        <v>61</v>
      </c>
      <c r="B12" t="s">
        <v>62</v>
      </c>
      <c r="C12" t="s">
        <v>63</v>
      </c>
      <c r="D12" t="s">
        <v>23</v>
      </c>
      <c r="E12" t="s">
        <v>47</v>
      </c>
      <c r="F12" t="s">
        <v>32</v>
      </c>
      <c r="G12" t="s">
        <v>51</v>
      </c>
      <c r="H12">
        <v>4</v>
      </c>
      <c r="I12">
        <v>699</v>
      </c>
      <c r="J12">
        <v>0.05</v>
      </c>
      <c r="K12">
        <v>1965.19</v>
      </c>
      <c r="L12" t="s">
        <v>27</v>
      </c>
    </row>
    <row r="13" spans="1:12" x14ac:dyDescent="0.3">
      <c r="A13" t="s">
        <v>64</v>
      </c>
      <c r="B13" t="s">
        <v>65</v>
      </c>
      <c r="C13" t="s">
        <v>14</v>
      </c>
      <c r="D13" t="s">
        <v>15</v>
      </c>
      <c r="E13" t="s">
        <v>16</v>
      </c>
      <c r="F13" t="s">
        <v>39</v>
      </c>
      <c r="G13" t="s">
        <v>66</v>
      </c>
      <c r="H13">
        <v>2</v>
      </c>
      <c r="I13">
        <v>1199</v>
      </c>
      <c r="J13">
        <v>0.15</v>
      </c>
      <c r="K13">
        <v>1593.44</v>
      </c>
      <c r="L13" t="s">
        <v>67</v>
      </c>
    </row>
    <row r="14" spans="1:12" x14ac:dyDescent="0.3">
      <c r="A14" t="s">
        <v>68</v>
      </c>
      <c r="B14" t="s">
        <v>69</v>
      </c>
      <c r="C14" t="s">
        <v>63</v>
      </c>
      <c r="D14" t="s">
        <v>15</v>
      </c>
      <c r="E14" t="s">
        <v>16</v>
      </c>
      <c r="F14" t="s">
        <v>25</v>
      </c>
      <c r="G14" t="s">
        <v>70</v>
      </c>
      <c r="H14">
        <v>5</v>
      </c>
      <c r="I14">
        <v>1299</v>
      </c>
      <c r="J14">
        <v>0.1</v>
      </c>
      <c r="K14">
        <v>3789.61</v>
      </c>
      <c r="L14" t="s">
        <v>67</v>
      </c>
    </row>
    <row r="15" spans="1:12" x14ac:dyDescent="0.3">
      <c r="A15" t="s">
        <v>71</v>
      </c>
      <c r="B15" t="s">
        <v>72</v>
      </c>
      <c r="C15" t="s">
        <v>73</v>
      </c>
      <c r="D15" t="s">
        <v>15</v>
      </c>
      <c r="E15" t="s">
        <v>16</v>
      </c>
      <c r="F15" t="s">
        <v>17</v>
      </c>
      <c r="G15" t="s">
        <v>74</v>
      </c>
      <c r="H15">
        <v>3</v>
      </c>
      <c r="I15">
        <v>240</v>
      </c>
      <c r="J15">
        <v>0.2</v>
      </c>
      <c r="K15">
        <v>593.13</v>
      </c>
      <c r="L15" t="s">
        <v>44</v>
      </c>
    </row>
    <row r="16" spans="1:12" x14ac:dyDescent="0.3">
      <c r="A16" t="s">
        <v>75</v>
      </c>
      <c r="B16" t="s">
        <v>13</v>
      </c>
      <c r="C16" t="s">
        <v>76</v>
      </c>
      <c r="D16" t="s">
        <v>15</v>
      </c>
      <c r="E16" t="s">
        <v>31</v>
      </c>
      <c r="F16" t="s">
        <v>17</v>
      </c>
      <c r="G16" t="s">
        <v>18</v>
      </c>
      <c r="H16">
        <v>1</v>
      </c>
      <c r="I16">
        <v>420</v>
      </c>
      <c r="J16">
        <v>0.2</v>
      </c>
      <c r="K16">
        <v>271.83999999999997</v>
      </c>
      <c r="L16" t="s">
        <v>27</v>
      </c>
    </row>
    <row r="17" spans="1:16" x14ac:dyDescent="0.3">
      <c r="A17" t="s">
        <v>77</v>
      </c>
      <c r="B17" t="s">
        <v>78</v>
      </c>
      <c r="C17" t="s">
        <v>43</v>
      </c>
      <c r="D17" t="s">
        <v>23</v>
      </c>
      <c r="E17" t="s">
        <v>31</v>
      </c>
      <c r="F17" t="s">
        <v>25</v>
      </c>
      <c r="G17" t="s">
        <v>79</v>
      </c>
      <c r="H17">
        <v>2</v>
      </c>
      <c r="I17">
        <v>899</v>
      </c>
      <c r="J17">
        <v>0</v>
      </c>
      <c r="K17">
        <v>1383.69</v>
      </c>
      <c r="L17" t="s">
        <v>27</v>
      </c>
    </row>
    <row r="18" spans="1:16" x14ac:dyDescent="0.3">
      <c r="A18" t="s">
        <v>80</v>
      </c>
      <c r="B18" t="s">
        <v>81</v>
      </c>
      <c r="C18" t="s">
        <v>82</v>
      </c>
      <c r="D18" t="s">
        <v>15</v>
      </c>
      <c r="E18" t="s">
        <v>16</v>
      </c>
      <c r="F18" t="s">
        <v>32</v>
      </c>
      <c r="G18" t="s">
        <v>33</v>
      </c>
      <c r="H18">
        <v>3</v>
      </c>
      <c r="I18">
        <v>1499</v>
      </c>
      <c r="J18">
        <v>0.1</v>
      </c>
      <c r="K18">
        <v>3185.23</v>
      </c>
      <c r="L18" t="s">
        <v>19</v>
      </c>
    </row>
    <row r="19" spans="1:16" x14ac:dyDescent="0.3">
      <c r="A19" t="s">
        <v>83</v>
      </c>
      <c r="B19" t="s">
        <v>84</v>
      </c>
      <c r="C19" t="s">
        <v>30</v>
      </c>
      <c r="D19" t="s">
        <v>15</v>
      </c>
      <c r="E19" t="s">
        <v>85</v>
      </c>
      <c r="F19" t="s">
        <v>17</v>
      </c>
      <c r="G19" t="s">
        <v>86</v>
      </c>
      <c r="H19">
        <v>6</v>
      </c>
      <c r="I19">
        <v>55</v>
      </c>
      <c r="J19">
        <v>0.15</v>
      </c>
      <c r="K19">
        <v>270.56</v>
      </c>
      <c r="L19" t="s">
        <v>67</v>
      </c>
    </row>
    <row r="20" spans="1:16" x14ac:dyDescent="0.3">
      <c r="A20" t="s">
        <v>87</v>
      </c>
      <c r="B20" t="s">
        <v>88</v>
      </c>
      <c r="C20" t="s">
        <v>30</v>
      </c>
      <c r="D20" t="s">
        <v>15</v>
      </c>
      <c r="E20" t="s">
        <v>24</v>
      </c>
      <c r="F20" t="s">
        <v>17</v>
      </c>
      <c r="G20" t="s">
        <v>89</v>
      </c>
      <c r="H20">
        <v>4</v>
      </c>
      <c r="I20">
        <v>650</v>
      </c>
      <c r="J20">
        <v>0.2</v>
      </c>
      <c r="K20">
        <v>1601.77</v>
      </c>
      <c r="L20" t="s">
        <v>27</v>
      </c>
      <c r="P20" t="s">
        <v>851</v>
      </c>
    </row>
    <row r="21" spans="1:16" x14ac:dyDescent="0.3">
      <c r="A21" t="s">
        <v>90</v>
      </c>
      <c r="B21" t="s">
        <v>91</v>
      </c>
      <c r="C21" t="s">
        <v>92</v>
      </c>
      <c r="D21" t="s">
        <v>15</v>
      </c>
      <c r="E21" t="s">
        <v>24</v>
      </c>
      <c r="F21" t="s">
        <v>25</v>
      </c>
      <c r="G21" t="s">
        <v>56</v>
      </c>
      <c r="H21">
        <v>2</v>
      </c>
      <c r="I21">
        <v>1499</v>
      </c>
      <c r="J21">
        <v>0.2</v>
      </c>
      <c r="K21">
        <v>1862.96</v>
      </c>
      <c r="L21" t="s">
        <v>67</v>
      </c>
    </row>
    <row r="22" spans="1:16" x14ac:dyDescent="0.3">
      <c r="A22" t="s">
        <v>93</v>
      </c>
      <c r="B22" t="s">
        <v>94</v>
      </c>
      <c r="C22" t="s">
        <v>76</v>
      </c>
      <c r="D22" t="s">
        <v>15</v>
      </c>
      <c r="E22" t="s">
        <v>16</v>
      </c>
      <c r="F22" t="s">
        <v>32</v>
      </c>
      <c r="G22" t="s">
        <v>60</v>
      </c>
      <c r="H22">
        <v>8</v>
      </c>
      <c r="I22">
        <v>1299</v>
      </c>
      <c r="J22">
        <v>0.15</v>
      </c>
      <c r="K22">
        <v>6309.22</v>
      </c>
      <c r="L22" t="s">
        <v>27</v>
      </c>
    </row>
    <row r="23" spans="1:16" x14ac:dyDescent="0.3">
      <c r="A23" t="s">
        <v>95</v>
      </c>
      <c r="B23" t="s">
        <v>96</v>
      </c>
      <c r="C23" t="s">
        <v>37</v>
      </c>
      <c r="D23" t="s">
        <v>23</v>
      </c>
      <c r="E23" t="s">
        <v>59</v>
      </c>
      <c r="F23" t="s">
        <v>32</v>
      </c>
      <c r="G23" t="s">
        <v>97</v>
      </c>
      <c r="H23">
        <v>1</v>
      </c>
      <c r="I23">
        <v>899</v>
      </c>
      <c r="J23">
        <v>0</v>
      </c>
      <c r="K23">
        <v>510.8</v>
      </c>
      <c r="L23" t="s">
        <v>44</v>
      </c>
    </row>
    <row r="24" spans="1:16" x14ac:dyDescent="0.3">
      <c r="A24" t="s">
        <v>98</v>
      </c>
      <c r="B24" t="s">
        <v>99</v>
      </c>
      <c r="C24" t="s">
        <v>30</v>
      </c>
      <c r="D24" t="s">
        <v>15</v>
      </c>
      <c r="E24" t="s">
        <v>31</v>
      </c>
      <c r="F24" t="s">
        <v>32</v>
      </c>
      <c r="G24" t="s">
        <v>60</v>
      </c>
      <c r="H24">
        <v>7</v>
      </c>
      <c r="I24">
        <v>1299</v>
      </c>
      <c r="J24">
        <v>0.05</v>
      </c>
      <c r="K24">
        <v>5760.99</v>
      </c>
      <c r="L24" t="s">
        <v>34</v>
      </c>
    </row>
    <row r="25" spans="1:16" x14ac:dyDescent="0.3">
      <c r="A25" t="s">
        <v>100</v>
      </c>
      <c r="B25" t="s">
        <v>101</v>
      </c>
      <c r="C25" t="s">
        <v>73</v>
      </c>
      <c r="D25" t="s">
        <v>15</v>
      </c>
      <c r="E25" t="s">
        <v>24</v>
      </c>
      <c r="F25" t="s">
        <v>25</v>
      </c>
      <c r="G25" t="s">
        <v>26</v>
      </c>
      <c r="H25">
        <v>4</v>
      </c>
      <c r="I25">
        <v>599</v>
      </c>
      <c r="J25">
        <v>0.05</v>
      </c>
      <c r="K25">
        <v>1609.93</v>
      </c>
      <c r="L25" t="s">
        <v>67</v>
      </c>
    </row>
    <row r="26" spans="1:16" x14ac:dyDescent="0.3">
      <c r="A26" t="s">
        <v>102</v>
      </c>
      <c r="B26" t="s">
        <v>94</v>
      </c>
      <c r="C26" t="s">
        <v>37</v>
      </c>
      <c r="D26" t="s">
        <v>15</v>
      </c>
      <c r="E26" t="s">
        <v>31</v>
      </c>
      <c r="F26" t="s">
        <v>32</v>
      </c>
      <c r="G26" t="s">
        <v>103</v>
      </c>
      <c r="H26">
        <v>7</v>
      </c>
      <c r="I26">
        <v>499</v>
      </c>
      <c r="J26">
        <v>0.1</v>
      </c>
      <c r="K26">
        <v>2892.05</v>
      </c>
      <c r="L26" t="s">
        <v>67</v>
      </c>
    </row>
    <row r="27" spans="1:16" x14ac:dyDescent="0.3">
      <c r="A27" t="s">
        <v>104</v>
      </c>
      <c r="B27" t="s">
        <v>105</v>
      </c>
      <c r="C27" t="s">
        <v>37</v>
      </c>
      <c r="D27" t="s">
        <v>23</v>
      </c>
      <c r="E27" t="s">
        <v>31</v>
      </c>
      <c r="F27" t="s">
        <v>39</v>
      </c>
      <c r="G27" t="s">
        <v>106</v>
      </c>
      <c r="H27">
        <v>4</v>
      </c>
      <c r="I27">
        <v>999</v>
      </c>
      <c r="J27">
        <v>0</v>
      </c>
      <c r="K27">
        <v>2892.12</v>
      </c>
      <c r="L27" t="s">
        <v>19</v>
      </c>
    </row>
    <row r="28" spans="1:16" x14ac:dyDescent="0.3">
      <c r="A28" t="s">
        <v>107</v>
      </c>
      <c r="B28" t="s">
        <v>108</v>
      </c>
      <c r="C28" t="s">
        <v>43</v>
      </c>
      <c r="D28" t="s">
        <v>15</v>
      </c>
      <c r="E28" t="s">
        <v>24</v>
      </c>
      <c r="F28" t="s">
        <v>32</v>
      </c>
      <c r="G28" t="s">
        <v>33</v>
      </c>
      <c r="H28">
        <v>3</v>
      </c>
      <c r="I28">
        <v>1499</v>
      </c>
      <c r="J28">
        <v>0</v>
      </c>
      <c r="K28">
        <v>3769.54</v>
      </c>
      <c r="L28" t="s">
        <v>27</v>
      </c>
    </row>
    <row r="29" spans="1:16" x14ac:dyDescent="0.3">
      <c r="A29" t="s">
        <v>109</v>
      </c>
      <c r="B29" t="s">
        <v>110</v>
      </c>
      <c r="C29" t="s">
        <v>14</v>
      </c>
      <c r="D29" t="s">
        <v>15</v>
      </c>
      <c r="E29" t="s">
        <v>16</v>
      </c>
      <c r="F29" t="s">
        <v>39</v>
      </c>
      <c r="G29" t="s">
        <v>66</v>
      </c>
      <c r="H29">
        <v>2</v>
      </c>
      <c r="I29">
        <v>1199</v>
      </c>
      <c r="J29">
        <v>0.2</v>
      </c>
      <c r="K29">
        <v>1496.03</v>
      </c>
      <c r="L29" t="s">
        <v>19</v>
      </c>
    </row>
    <row r="30" spans="1:16" x14ac:dyDescent="0.3">
      <c r="A30" t="s">
        <v>111</v>
      </c>
      <c r="B30" t="s">
        <v>112</v>
      </c>
      <c r="C30" t="s">
        <v>22</v>
      </c>
      <c r="D30" t="s">
        <v>15</v>
      </c>
      <c r="E30" t="s">
        <v>59</v>
      </c>
      <c r="F30" t="s">
        <v>17</v>
      </c>
      <c r="G30" t="s">
        <v>113</v>
      </c>
      <c r="H30">
        <v>4</v>
      </c>
      <c r="I30">
        <v>180</v>
      </c>
      <c r="J30">
        <v>0.1</v>
      </c>
      <c r="K30">
        <v>447.56</v>
      </c>
      <c r="L30" t="s">
        <v>67</v>
      </c>
    </row>
    <row r="31" spans="1:16" x14ac:dyDescent="0.3">
      <c r="A31" t="s">
        <v>114</v>
      </c>
      <c r="B31" t="s">
        <v>115</v>
      </c>
      <c r="C31" t="s">
        <v>63</v>
      </c>
      <c r="D31" t="s">
        <v>23</v>
      </c>
      <c r="E31" t="s">
        <v>38</v>
      </c>
      <c r="F31" t="s">
        <v>25</v>
      </c>
      <c r="G31" t="s">
        <v>26</v>
      </c>
      <c r="H31">
        <v>8</v>
      </c>
      <c r="I31">
        <v>599</v>
      </c>
      <c r="J31">
        <v>0.2</v>
      </c>
      <c r="K31">
        <v>4070.98</v>
      </c>
      <c r="L31" t="s">
        <v>27</v>
      </c>
    </row>
    <row r="32" spans="1:16" x14ac:dyDescent="0.3">
      <c r="A32" t="s">
        <v>116</v>
      </c>
      <c r="B32" t="s">
        <v>117</v>
      </c>
      <c r="C32" t="s">
        <v>76</v>
      </c>
      <c r="D32" t="s">
        <v>15</v>
      </c>
      <c r="E32" t="s">
        <v>47</v>
      </c>
      <c r="F32" t="s">
        <v>17</v>
      </c>
      <c r="G32" t="s">
        <v>18</v>
      </c>
      <c r="H32">
        <v>6</v>
      </c>
      <c r="I32">
        <v>420</v>
      </c>
      <c r="J32">
        <v>0</v>
      </c>
      <c r="K32">
        <v>2050.73</v>
      </c>
      <c r="L32" t="s">
        <v>44</v>
      </c>
    </row>
    <row r="33" spans="1:12" x14ac:dyDescent="0.3">
      <c r="A33" t="s">
        <v>118</v>
      </c>
      <c r="B33" t="s">
        <v>119</v>
      </c>
      <c r="C33" t="s">
        <v>82</v>
      </c>
      <c r="D33" t="s">
        <v>23</v>
      </c>
      <c r="E33" t="s">
        <v>47</v>
      </c>
      <c r="F33" t="s">
        <v>120</v>
      </c>
      <c r="G33" t="s">
        <v>74</v>
      </c>
      <c r="H33">
        <v>1</v>
      </c>
      <c r="I33">
        <v>240</v>
      </c>
      <c r="J33">
        <v>0.2</v>
      </c>
      <c r="K33">
        <v>153.56</v>
      </c>
      <c r="L33" t="s">
        <v>27</v>
      </c>
    </row>
    <row r="34" spans="1:12" x14ac:dyDescent="0.3">
      <c r="A34" t="s">
        <v>121</v>
      </c>
      <c r="B34" t="s">
        <v>122</v>
      </c>
      <c r="C34" t="s">
        <v>63</v>
      </c>
      <c r="D34" t="s">
        <v>15</v>
      </c>
      <c r="E34" t="s">
        <v>24</v>
      </c>
      <c r="F34" t="s">
        <v>39</v>
      </c>
      <c r="G34" t="s">
        <v>106</v>
      </c>
      <c r="H34">
        <v>5</v>
      </c>
      <c r="I34">
        <v>999</v>
      </c>
      <c r="J34">
        <v>0.2</v>
      </c>
      <c r="K34">
        <v>3062.88</v>
      </c>
      <c r="L34" t="s">
        <v>44</v>
      </c>
    </row>
    <row r="35" spans="1:12" x14ac:dyDescent="0.3">
      <c r="A35" t="s">
        <v>123</v>
      </c>
      <c r="B35" t="s">
        <v>124</v>
      </c>
      <c r="C35" t="s">
        <v>63</v>
      </c>
      <c r="D35" t="s">
        <v>23</v>
      </c>
      <c r="E35" t="s">
        <v>38</v>
      </c>
      <c r="F35" t="s">
        <v>25</v>
      </c>
      <c r="G35" t="s">
        <v>26</v>
      </c>
      <c r="H35">
        <v>7</v>
      </c>
      <c r="I35">
        <v>599</v>
      </c>
      <c r="J35">
        <v>0.1</v>
      </c>
      <c r="K35">
        <v>2361.61</v>
      </c>
      <c r="L35" t="s">
        <v>44</v>
      </c>
    </row>
    <row r="36" spans="1:12" x14ac:dyDescent="0.3">
      <c r="A36" t="s">
        <v>125</v>
      </c>
      <c r="B36" t="s">
        <v>126</v>
      </c>
      <c r="C36" t="s">
        <v>63</v>
      </c>
      <c r="D36" t="s">
        <v>15</v>
      </c>
      <c r="E36" t="s">
        <v>16</v>
      </c>
      <c r="F36" t="s">
        <v>32</v>
      </c>
      <c r="G36" t="s">
        <v>33</v>
      </c>
      <c r="H36">
        <v>7</v>
      </c>
      <c r="I36">
        <v>1499</v>
      </c>
      <c r="J36">
        <v>0.2</v>
      </c>
      <c r="K36">
        <v>5801.59</v>
      </c>
      <c r="L36" t="s">
        <v>27</v>
      </c>
    </row>
    <row r="37" spans="1:12" x14ac:dyDescent="0.3">
      <c r="A37" t="s">
        <v>127</v>
      </c>
      <c r="B37" t="s">
        <v>128</v>
      </c>
      <c r="C37" t="s">
        <v>82</v>
      </c>
      <c r="D37" t="s">
        <v>15</v>
      </c>
      <c r="E37" t="s">
        <v>38</v>
      </c>
      <c r="F37" t="s">
        <v>39</v>
      </c>
      <c r="G37" t="s">
        <v>66</v>
      </c>
      <c r="H37">
        <v>3</v>
      </c>
      <c r="I37">
        <v>1199</v>
      </c>
      <c r="J37">
        <v>0</v>
      </c>
      <c r="K37">
        <v>2310.9899999999998</v>
      </c>
      <c r="L37" t="s">
        <v>27</v>
      </c>
    </row>
    <row r="38" spans="1:12" x14ac:dyDescent="0.3">
      <c r="A38" t="s">
        <v>129</v>
      </c>
      <c r="B38" t="s">
        <v>42</v>
      </c>
      <c r="C38" t="s">
        <v>30</v>
      </c>
      <c r="D38" t="s">
        <v>15</v>
      </c>
      <c r="E38" t="s">
        <v>16</v>
      </c>
      <c r="F38" t="s">
        <v>25</v>
      </c>
      <c r="G38" t="s">
        <v>56</v>
      </c>
      <c r="H38">
        <v>7</v>
      </c>
      <c r="I38">
        <v>1499</v>
      </c>
      <c r="J38">
        <v>0.2</v>
      </c>
      <c r="K38">
        <v>8130.43</v>
      </c>
      <c r="L38" t="s">
        <v>34</v>
      </c>
    </row>
    <row r="39" spans="1:12" x14ac:dyDescent="0.3">
      <c r="A39" t="s">
        <v>130</v>
      </c>
      <c r="B39" t="s">
        <v>131</v>
      </c>
      <c r="C39" t="s">
        <v>82</v>
      </c>
      <c r="D39" t="s">
        <v>23</v>
      </c>
      <c r="E39" t="s">
        <v>24</v>
      </c>
      <c r="F39" t="s">
        <v>39</v>
      </c>
      <c r="G39" t="s">
        <v>106</v>
      </c>
      <c r="H39">
        <v>7</v>
      </c>
      <c r="I39">
        <v>999</v>
      </c>
      <c r="J39">
        <v>0.05</v>
      </c>
      <c r="K39">
        <v>4405.88</v>
      </c>
      <c r="L39" t="s">
        <v>27</v>
      </c>
    </row>
    <row r="40" spans="1:12" x14ac:dyDescent="0.3">
      <c r="A40" t="s">
        <v>132</v>
      </c>
      <c r="B40" t="s">
        <v>133</v>
      </c>
      <c r="C40" t="s">
        <v>92</v>
      </c>
      <c r="D40" t="s">
        <v>23</v>
      </c>
      <c r="E40" t="s">
        <v>31</v>
      </c>
      <c r="F40" t="s">
        <v>39</v>
      </c>
      <c r="G40" t="s">
        <v>66</v>
      </c>
      <c r="H40">
        <v>6</v>
      </c>
      <c r="I40">
        <v>1199</v>
      </c>
      <c r="J40">
        <v>0.1</v>
      </c>
      <c r="K40">
        <v>5727.58</v>
      </c>
      <c r="L40" t="s">
        <v>34</v>
      </c>
    </row>
    <row r="41" spans="1:12" x14ac:dyDescent="0.3">
      <c r="A41" t="s">
        <v>134</v>
      </c>
      <c r="B41" t="s">
        <v>135</v>
      </c>
      <c r="C41" t="s">
        <v>92</v>
      </c>
      <c r="D41" t="s">
        <v>15</v>
      </c>
      <c r="E41" t="s">
        <v>59</v>
      </c>
      <c r="F41" t="s">
        <v>17</v>
      </c>
      <c r="G41" t="s">
        <v>113</v>
      </c>
      <c r="H41">
        <v>2</v>
      </c>
      <c r="I41">
        <v>180</v>
      </c>
      <c r="J41">
        <v>0.1</v>
      </c>
      <c r="K41">
        <v>235.92</v>
      </c>
      <c r="L41" t="s">
        <v>19</v>
      </c>
    </row>
    <row r="42" spans="1:12" x14ac:dyDescent="0.3">
      <c r="A42" t="s">
        <v>136</v>
      </c>
      <c r="B42" t="s">
        <v>137</v>
      </c>
      <c r="C42" t="s">
        <v>76</v>
      </c>
      <c r="D42" t="s">
        <v>23</v>
      </c>
      <c r="E42" t="s">
        <v>24</v>
      </c>
      <c r="F42" t="s">
        <v>25</v>
      </c>
      <c r="G42" t="s">
        <v>56</v>
      </c>
      <c r="H42">
        <v>3</v>
      </c>
      <c r="I42">
        <v>1499</v>
      </c>
      <c r="J42">
        <v>0.2</v>
      </c>
      <c r="K42">
        <v>3771.91</v>
      </c>
      <c r="L42" t="s">
        <v>44</v>
      </c>
    </row>
    <row r="43" spans="1:12" x14ac:dyDescent="0.3">
      <c r="A43" t="s">
        <v>138</v>
      </c>
      <c r="B43" t="s">
        <v>139</v>
      </c>
      <c r="C43" t="s">
        <v>14</v>
      </c>
      <c r="D43" t="s">
        <v>23</v>
      </c>
      <c r="E43" t="s">
        <v>38</v>
      </c>
      <c r="F43" t="s">
        <v>17</v>
      </c>
      <c r="G43" t="s">
        <v>86</v>
      </c>
      <c r="H43">
        <v>2</v>
      </c>
      <c r="I43">
        <v>55</v>
      </c>
      <c r="J43">
        <v>0.15</v>
      </c>
      <c r="K43">
        <v>90.18</v>
      </c>
      <c r="L43" t="s">
        <v>34</v>
      </c>
    </row>
    <row r="44" spans="1:12" x14ac:dyDescent="0.3">
      <c r="A44" t="s">
        <v>140</v>
      </c>
      <c r="B44" t="s">
        <v>141</v>
      </c>
      <c r="C44" t="s">
        <v>92</v>
      </c>
      <c r="D44" t="s">
        <v>23</v>
      </c>
      <c r="E44" t="s">
        <v>24</v>
      </c>
      <c r="F44" t="s">
        <v>39</v>
      </c>
      <c r="G44" t="s">
        <v>106</v>
      </c>
      <c r="H44">
        <v>7</v>
      </c>
      <c r="I44">
        <v>999</v>
      </c>
      <c r="J44">
        <v>0</v>
      </c>
      <c r="K44">
        <v>5836.79</v>
      </c>
      <c r="L44" t="s">
        <v>44</v>
      </c>
    </row>
    <row r="45" spans="1:12" x14ac:dyDescent="0.3">
      <c r="A45" t="s">
        <v>142</v>
      </c>
      <c r="B45" t="s">
        <v>143</v>
      </c>
      <c r="C45" t="s">
        <v>43</v>
      </c>
      <c r="D45" t="s">
        <v>15</v>
      </c>
      <c r="E45" t="s">
        <v>16</v>
      </c>
      <c r="F45" t="s">
        <v>17</v>
      </c>
      <c r="G45" t="s">
        <v>74</v>
      </c>
      <c r="H45">
        <v>5</v>
      </c>
      <c r="I45">
        <v>240</v>
      </c>
      <c r="J45">
        <v>0.15</v>
      </c>
      <c r="K45">
        <v>777.43</v>
      </c>
      <c r="L45" t="s">
        <v>44</v>
      </c>
    </row>
    <row r="46" spans="1:12" x14ac:dyDescent="0.3">
      <c r="A46" t="s">
        <v>144</v>
      </c>
      <c r="B46" t="s">
        <v>145</v>
      </c>
      <c r="C46" t="s">
        <v>82</v>
      </c>
      <c r="D46" t="s">
        <v>15</v>
      </c>
      <c r="E46" t="s">
        <v>59</v>
      </c>
      <c r="F46" t="s">
        <v>32</v>
      </c>
      <c r="G46" t="s">
        <v>60</v>
      </c>
      <c r="H46">
        <v>5</v>
      </c>
      <c r="I46">
        <v>1299</v>
      </c>
      <c r="J46">
        <v>0.15</v>
      </c>
      <c r="K46">
        <v>4639.91</v>
      </c>
      <c r="L46" t="s">
        <v>27</v>
      </c>
    </row>
    <row r="47" spans="1:12" x14ac:dyDescent="0.3">
      <c r="A47" t="s">
        <v>146</v>
      </c>
      <c r="B47" t="s">
        <v>147</v>
      </c>
      <c r="C47" t="s">
        <v>63</v>
      </c>
      <c r="D47" t="s">
        <v>15</v>
      </c>
      <c r="E47" t="s">
        <v>59</v>
      </c>
      <c r="F47" t="s">
        <v>17</v>
      </c>
      <c r="G47" t="s">
        <v>86</v>
      </c>
      <c r="H47">
        <v>8</v>
      </c>
      <c r="I47">
        <v>55</v>
      </c>
      <c r="J47">
        <v>0.15</v>
      </c>
      <c r="K47">
        <v>331.18</v>
      </c>
      <c r="L47" t="s">
        <v>19</v>
      </c>
    </row>
    <row r="48" spans="1:12" x14ac:dyDescent="0.3">
      <c r="A48" t="s">
        <v>148</v>
      </c>
      <c r="B48" t="s">
        <v>149</v>
      </c>
      <c r="C48" t="s">
        <v>82</v>
      </c>
      <c r="D48" t="s">
        <v>15</v>
      </c>
      <c r="E48" t="s">
        <v>38</v>
      </c>
      <c r="F48" t="s">
        <v>17</v>
      </c>
      <c r="G48" t="s">
        <v>89</v>
      </c>
      <c r="H48">
        <v>4</v>
      </c>
      <c r="I48">
        <v>650</v>
      </c>
      <c r="J48">
        <v>0.1</v>
      </c>
      <c r="K48">
        <v>1605.22</v>
      </c>
      <c r="L48" t="s">
        <v>34</v>
      </c>
    </row>
    <row r="49" spans="1:12" x14ac:dyDescent="0.3">
      <c r="A49" t="s">
        <v>150</v>
      </c>
      <c r="B49" t="s">
        <v>151</v>
      </c>
      <c r="C49" t="s">
        <v>92</v>
      </c>
      <c r="D49" t="s">
        <v>15</v>
      </c>
      <c r="E49" t="s">
        <v>31</v>
      </c>
      <c r="F49" t="s">
        <v>32</v>
      </c>
      <c r="G49" t="s">
        <v>33</v>
      </c>
      <c r="H49">
        <v>2</v>
      </c>
      <c r="I49">
        <v>1499</v>
      </c>
      <c r="J49">
        <v>0.15</v>
      </c>
      <c r="K49">
        <v>2021.65</v>
      </c>
      <c r="L49" t="s">
        <v>19</v>
      </c>
    </row>
    <row r="50" spans="1:12" x14ac:dyDescent="0.3">
      <c r="A50" t="s">
        <v>152</v>
      </c>
      <c r="B50" t="s">
        <v>153</v>
      </c>
      <c r="C50" t="s">
        <v>37</v>
      </c>
      <c r="D50" t="s">
        <v>23</v>
      </c>
      <c r="E50" t="s">
        <v>59</v>
      </c>
      <c r="F50" t="s">
        <v>39</v>
      </c>
      <c r="G50" t="s">
        <v>40</v>
      </c>
      <c r="H50">
        <v>1</v>
      </c>
      <c r="I50">
        <v>1599</v>
      </c>
      <c r="J50">
        <v>0</v>
      </c>
      <c r="K50">
        <v>1252.8599999999999</v>
      </c>
      <c r="L50" t="s">
        <v>34</v>
      </c>
    </row>
    <row r="51" spans="1:12" x14ac:dyDescent="0.3">
      <c r="A51" t="s">
        <v>154</v>
      </c>
      <c r="B51" t="s">
        <v>155</v>
      </c>
      <c r="C51" t="s">
        <v>76</v>
      </c>
      <c r="D51" t="s">
        <v>23</v>
      </c>
      <c r="E51" t="s">
        <v>24</v>
      </c>
      <c r="F51" t="s">
        <v>39</v>
      </c>
      <c r="G51" t="s">
        <v>48</v>
      </c>
      <c r="H51">
        <v>8</v>
      </c>
      <c r="I51">
        <v>799</v>
      </c>
      <c r="J51">
        <v>0.05</v>
      </c>
      <c r="K51">
        <v>5052.3999999999996</v>
      </c>
      <c r="L51" t="s">
        <v>19</v>
      </c>
    </row>
    <row r="52" spans="1:12" x14ac:dyDescent="0.3">
      <c r="A52" t="s">
        <v>156</v>
      </c>
      <c r="B52" t="s">
        <v>157</v>
      </c>
      <c r="C52" t="s">
        <v>22</v>
      </c>
      <c r="D52" t="s">
        <v>23</v>
      </c>
      <c r="E52" t="s">
        <v>59</v>
      </c>
      <c r="F52" t="s">
        <v>32</v>
      </c>
      <c r="G52" t="s">
        <v>33</v>
      </c>
      <c r="H52">
        <v>8</v>
      </c>
      <c r="I52">
        <v>1499</v>
      </c>
      <c r="J52">
        <v>0.05</v>
      </c>
      <c r="K52">
        <v>9270.9699999999993</v>
      </c>
      <c r="L52" t="s">
        <v>67</v>
      </c>
    </row>
    <row r="53" spans="1:12" x14ac:dyDescent="0.3">
      <c r="A53" t="s">
        <v>158</v>
      </c>
      <c r="B53" t="s">
        <v>159</v>
      </c>
      <c r="C53" t="s">
        <v>63</v>
      </c>
      <c r="D53" t="s">
        <v>15</v>
      </c>
      <c r="E53" t="s">
        <v>16</v>
      </c>
      <c r="F53" t="s">
        <v>17</v>
      </c>
      <c r="G53" t="s">
        <v>74</v>
      </c>
      <c r="H53">
        <v>8</v>
      </c>
      <c r="I53">
        <v>240</v>
      </c>
      <c r="J53">
        <v>0.05</v>
      </c>
      <c r="K53">
        <v>1214.17</v>
      </c>
      <c r="L53" t="s">
        <v>27</v>
      </c>
    </row>
    <row r="54" spans="1:12" x14ac:dyDescent="0.3">
      <c r="A54" t="s">
        <v>160</v>
      </c>
      <c r="B54" t="s">
        <v>105</v>
      </c>
      <c r="C54" t="s">
        <v>30</v>
      </c>
      <c r="D54" t="s">
        <v>23</v>
      </c>
      <c r="E54" t="s">
        <v>38</v>
      </c>
      <c r="F54" t="s">
        <v>17</v>
      </c>
      <c r="G54" t="s">
        <v>74</v>
      </c>
      <c r="H54">
        <v>2</v>
      </c>
      <c r="I54">
        <v>240</v>
      </c>
      <c r="J54">
        <v>0.05</v>
      </c>
      <c r="K54">
        <v>285.72000000000003</v>
      </c>
      <c r="L54" t="s">
        <v>67</v>
      </c>
    </row>
    <row r="55" spans="1:12" x14ac:dyDescent="0.3">
      <c r="A55" t="s">
        <v>161</v>
      </c>
      <c r="B55" t="s">
        <v>162</v>
      </c>
      <c r="C55" t="s">
        <v>82</v>
      </c>
      <c r="D55" t="s">
        <v>15</v>
      </c>
      <c r="E55" t="s">
        <v>24</v>
      </c>
      <c r="F55" t="s">
        <v>32</v>
      </c>
      <c r="G55" t="s">
        <v>97</v>
      </c>
      <c r="H55">
        <v>6</v>
      </c>
      <c r="I55">
        <v>899</v>
      </c>
      <c r="J55">
        <v>0.2</v>
      </c>
      <c r="K55">
        <v>3720.66</v>
      </c>
      <c r="L55" t="s">
        <v>27</v>
      </c>
    </row>
    <row r="56" spans="1:12" x14ac:dyDescent="0.3">
      <c r="A56" t="s">
        <v>163</v>
      </c>
      <c r="B56" t="s">
        <v>164</v>
      </c>
      <c r="C56" t="s">
        <v>37</v>
      </c>
      <c r="D56" t="s">
        <v>23</v>
      </c>
      <c r="E56" t="s">
        <v>47</v>
      </c>
      <c r="F56" t="s">
        <v>25</v>
      </c>
      <c r="G56" t="s">
        <v>70</v>
      </c>
      <c r="H56">
        <v>7</v>
      </c>
      <c r="I56">
        <v>1299</v>
      </c>
      <c r="J56">
        <v>0.15</v>
      </c>
      <c r="K56">
        <v>5017.2299999999996</v>
      </c>
      <c r="L56" t="s">
        <v>44</v>
      </c>
    </row>
    <row r="57" spans="1:12" x14ac:dyDescent="0.3">
      <c r="A57" t="s">
        <v>165</v>
      </c>
      <c r="B57" t="s">
        <v>166</v>
      </c>
      <c r="C57" t="s">
        <v>37</v>
      </c>
      <c r="D57" t="s">
        <v>23</v>
      </c>
      <c r="E57" t="s">
        <v>47</v>
      </c>
      <c r="F57" t="s">
        <v>39</v>
      </c>
      <c r="G57" t="s">
        <v>66</v>
      </c>
      <c r="H57">
        <v>4</v>
      </c>
      <c r="I57">
        <v>1199</v>
      </c>
      <c r="J57">
        <v>0.1</v>
      </c>
      <c r="K57">
        <v>3264.88</v>
      </c>
      <c r="L57" t="s">
        <v>27</v>
      </c>
    </row>
    <row r="58" spans="1:12" x14ac:dyDescent="0.3">
      <c r="A58" t="s">
        <v>167</v>
      </c>
      <c r="B58" t="s">
        <v>168</v>
      </c>
      <c r="D58" t="s">
        <v>23</v>
      </c>
      <c r="E58" t="s">
        <v>16</v>
      </c>
      <c r="F58" t="s">
        <v>39</v>
      </c>
      <c r="G58" t="s">
        <v>66</v>
      </c>
      <c r="H58">
        <v>3</v>
      </c>
      <c r="I58">
        <v>1199</v>
      </c>
      <c r="J58">
        <v>0.2</v>
      </c>
      <c r="K58">
        <v>2554.7199999999998</v>
      </c>
      <c r="L58" t="s">
        <v>67</v>
      </c>
    </row>
    <row r="59" spans="1:12" x14ac:dyDescent="0.3">
      <c r="A59" t="s">
        <v>169</v>
      </c>
      <c r="B59" t="s">
        <v>170</v>
      </c>
      <c r="C59" t="s">
        <v>22</v>
      </c>
      <c r="D59" t="s">
        <v>15</v>
      </c>
      <c r="E59" t="s">
        <v>24</v>
      </c>
      <c r="F59" t="s">
        <v>32</v>
      </c>
      <c r="G59" t="s">
        <v>60</v>
      </c>
      <c r="H59">
        <v>8</v>
      </c>
      <c r="I59">
        <v>1299</v>
      </c>
      <c r="J59">
        <v>0.05</v>
      </c>
      <c r="K59">
        <v>5872.37</v>
      </c>
      <c r="L59" t="s">
        <v>67</v>
      </c>
    </row>
    <row r="60" spans="1:12" x14ac:dyDescent="0.3">
      <c r="A60" t="s">
        <v>171</v>
      </c>
      <c r="B60" t="s">
        <v>172</v>
      </c>
      <c r="C60" t="s">
        <v>30</v>
      </c>
      <c r="D60" t="s">
        <v>23</v>
      </c>
      <c r="E60" t="s">
        <v>38</v>
      </c>
      <c r="F60" t="s">
        <v>17</v>
      </c>
      <c r="G60" t="s">
        <v>86</v>
      </c>
      <c r="H60">
        <v>5</v>
      </c>
      <c r="I60">
        <v>55</v>
      </c>
      <c r="J60">
        <v>0.15</v>
      </c>
      <c r="K60">
        <v>172.06</v>
      </c>
      <c r="L60" t="s">
        <v>27</v>
      </c>
    </row>
    <row r="61" spans="1:12" x14ac:dyDescent="0.3">
      <c r="A61" t="s">
        <v>173</v>
      </c>
      <c r="B61" t="s">
        <v>174</v>
      </c>
      <c r="C61" t="s">
        <v>92</v>
      </c>
      <c r="D61" t="s">
        <v>15</v>
      </c>
      <c r="E61" t="s">
        <v>38</v>
      </c>
      <c r="F61" t="s">
        <v>39</v>
      </c>
      <c r="G61" t="s">
        <v>48</v>
      </c>
      <c r="H61">
        <v>1</v>
      </c>
      <c r="I61">
        <v>799</v>
      </c>
      <c r="J61">
        <v>0</v>
      </c>
      <c r="K61">
        <v>667.07</v>
      </c>
      <c r="L61" t="s">
        <v>34</v>
      </c>
    </row>
    <row r="62" spans="1:12" x14ac:dyDescent="0.3">
      <c r="A62" t="s">
        <v>175</v>
      </c>
      <c r="B62" t="s">
        <v>176</v>
      </c>
      <c r="C62" t="s">
        <v>22</v>
      </c>
      <c r="D62" t="s">
        <v>15</v>
      </c>
      <c r="E62" t="s">
        <v>31</v>
      </c>
      <c r="F62" t="s">
        <v>39</v>
      </c>
      <c r="G62" t="s">
        <v>66</v>
      </c>
      <c r="H62">
        <v>2</v>
      </c>
      <c r="I62">
        <v>1199</v>
      </c>
      <c r="J62">
        <v>0.2</v>
      </c>
      <c r="K62">
        <v>2000.72</v>
      </c>
      <c r="L62" t="s">
        <v>67</v>
      </c>
    </row>
    <row r="63" spans="1:12" x14ac:dyDescent="0.3">
      <c r="A63" t="s">
        <v>177</v>
      </c>
      <c r="B63" t="s">
        <v>178</v>
      </c>
      <c r="C63" t="s">
        <v>63</v>
      </c>
      <c r="D63" t="s">
        <v>23</v>
      </c>
      <c r="E63" t="s">
        <v>31</v>
      </c>
      <c r="F63" t="s">
        <v>25</v>
      </c>
      <c r="G63" t="s">
        <v>79</v>
      </c>
      <c r="H63">
        <v>5</v>
      </c>
      <c r="I63">
        <v>899</v>
      </c>
      <c r="J63">
        <v>0</v>
      </c>
      <c r="K63">
        <v>3252.61</v>
      </c>
      <c r="L63" t="s">
        <v>44</v>
      </c>
    </row>
    <row r="64" spans="1:12" x14ac:dyDescent="0.3">
      <c r="A64" t="s">
        <v>179</v>
      </c>
      <c r="B64" t="s">
        <v>180</v>
      </c>
      <c r="C64" t="s">
        <v>37</v>
      </c>
      <c r="D64" t="s">
        <v>23</v>
      </c>
      <c r="E64" t="s">
        <v>16</v>
      </c>
      <c r="F64" t="s">
        <v>39</v>
      </c>
      <c r="G64" t="s">
        <v>48</v>
      </c>
      <c r="H64">
        <v>4</v>
      </c>
      <c r="I64">
        <v>799</v>
      </c>
      <c r="J64">
        <v>0</v>
      </c>
      <c r="K64">
        <v>2426.27</v>
      </c>
      <c r="L64" t="s">
        <v>44</v>
      </c>
    </row>
    <row r="65" spans="1:12" x14ac:dyDescent="0.3">
      <c r="A65" t="s">
        <v>181</v>
      </c>
      <c r="B65" t="s">
        <v>182</v>
      </c>
      <c r="C65" t="s">
        <v>22</v>
      </c>
      <c r="D65" t="s">
        <v>15</v>
      </c>
      <c r="E65" t="s">
        <v>47</v>
      </c>
      <c r="F65" t="s">
        <v>25</v>
      </c>
      <c r="G65" t="s">
        <v>56</v>
      </c>
      <c r="H65">
        <v>7</v>
      </c>
      <c r="I65">
        <v>1499</v>
      </c>
      <c r="J65">
        <v>0.1</v>
      </c>
      <c r="K65">
        <v>5988.22</v>
      </c>
      <c r="L65" t="s">
        <v>44</v>
      </c>
    </row>
    <row r="66" spans="1:12" x14ac:dyDescent="0.3">
      <c r="A66" t="s">
        <v>183</v>
      </c>
      <c r="B66" t="s">
        <v>184</v>
      </c>
      <c r="C66" t="s">
        <v>37</v>
      </c>
      <c r="D66" t="s">
        <v>23</v>
      </c>
      <c r="E66" t="s">
        <v>24</v>
      </c>
      <c r="F66" t="s">
        <v>32</v>
      </c>
      <c r="G66" t="s">
        <v>51</v>
      </c>
      <c r="H66">
        <v>8</v>
      </c>
      <c r="I66">
        <v>699</v>
      </c>
      <c r="J66">
        <v>0.05</v>
      </c>
      <c r="K66">
        <v>3806.17</v>
      </c>
      <c r="L66" t="s">
        <v>19</v>
      </c>
    </row>
    <row r="67" spans="1:12" x14ac:dyDescent="0.3">
      <c r="A67" t="s">
        <v>185</v>
      </c>
      <c r="B67" t="s">
        <v>186</v>
      </c>
      <c r="C67" t="s">
        <v>63</v>
      </c>
      <c r="D67" t="s">
        <v>23</v>
      </c>
      <c r="E67" t="s">
        <v>59</v>
      </c>
      <c r="F67" t="s">
        <v>32</v>
      </c>
      <c r="G67" t="s">
        <v>33</v>
      </c>
      <c r="H67">
        <v>5</v>
      </c>
      <c r="I67">
        <v>1499</v>
      </c>
      <c r="J67">
        <v>0.1</v>
      </c>
      <c r="K67">
        <v>6037.33</v>
      </c>
      <c r="L67" t="s">
        <v>27</v>
      </c>
    </row>
    <row r="68" spans="1:12" x14ac:dyDescent="0.3">
      <c r="A68" t="s">
        <v>187</v>
      </c>
      <c r="B68" t="s">
        <v>188</v>
      </c>
      <c r="C68" t="s">
        <v>73</v>
      </c>
      <c r="D68" t="s">
        <v>15</v>
      </c>
      <c r="E68" t="s">
        <v>59</v>
      </c>
      <c r="F68" t="s">
        <v>32</v>
      </c>
      <c r="G68" t="s">
        <v>51</v>
      </c>
      <c r="H68">
        <v>1</v>
      </c>
      <c r="I68">
        <v>699</v>
      </c>
      <c r="J68">
        <v>0.15</v>
      </c>
      <c r="K68">
        <v>562.89</v>
      </c>
      <c r="L68" t="s">
        <v>34</v>
      </c>
    </row>
    <row r="69" spans="1:12" x14ac:dyDescent="0.3">
      <c r="A69" t="s">
        <v>189</v>
      </c>
      <c r="B69" t="s">
        <v>190</v>
      </c>
      <c r="C69" t="s">
        <v>30</v>
      </c>
      <c r="D69" t="s">
        <v>23</v>
      </c>
      <c r="E69" t="s">
        <v>38</v>
      </c>
      <c r="F69" t="s">
        <v>17</v>
      </c>
      <c r="G69" t="s">
        <v>113</v>
      </c>
      <c r="H69">
        <v>5</v>
      </c>
      <c r="I69">
        <v>180</v>
      </c>
      <c r="J69">
        <v>0.2</v>
      </c>
      <c r="K69">
        <v>497.74</v>
      </c>
      <c r="L69" t="s">
        <v>34</v>
      </c>
    </row>
    <row r="70" spans="1:12" x14ac:dyDescent="0.3">
      <c r="A70" t="s">
        <v>191</v>
      </c>
      <c r="B70" t="s">
        <v>192</v>
      </c>
      <c r="C70" t="s">
        <v>30</v>
      </c>
      <c r="D70" t="s">
        <v>23</v>
      </c>
      <c r="E70" t="s">
        <v>59</v>
      </c>
      <c r="F70" t="s">
        <v>39</v>
      </c>
      <c r="G70" t="s">
        <v>66</v>
      </c>
      <c r="H70">
        <v>8</v>
      </c>
      <c r="I70">
        <v>1199</v>
      </c>
      <c r="J70">
        <v>0.15</v>
      </c>
      <c r="K70">
        <v>7557.34</v>
      </c>
      <c r="L70" t="s">
        <v>27</v>
      </c>
    </row>
    <row r="71" spans="1:12" x14ac:dyDescent="0.3">
      <c r="A71" t="s">
        <v>193</v>
      </c>
      <c r="B71" t="s">
        <v>194</v>
      </c>
      <c r="C71" t="s">
        <v>30</v>
      </c>
      <c r="D71" t="s">
        <v>23</v>
      </c>
      <c r="E71" t="s">
        <v>16</v>
      </c>
      <c r="F71" t="s">
        <v>39</v>
      </c>
      <c r="G71" t="s">
        <v>106</v>
      </c>
      <c r="H71">
        <v>6</v>
      </c>
      <c r="I71">
        <v>999</v>
      </c>
      <c r="J71">
        <v>0.15</v>
      </c>
      <c r="K71">
        <v>4291.96</v>
      </c>
      <c r="L71" t="s">
        <v>44</v>
      </c>
    </row>
    <row r="72" spans="1:12" x14ac:dyDescent="0.3">
      <c r="A72" t="s">
        <v>195</v>
      </c>
      <c r="B72" t="s">
        <v>196</v>
      </c>
      <c r="C72" t="s">
        <v>76</v>
      </c>
      <c r="D72" t="s">
        <v>23</v>
      </c>
      <c r="E72" t="s">
        <v>38</v>
      </c>
      <c r="F72" t="s">
        <v>32</v>
      </c>
      <c r="G72" t="s">
        <v>51</v>
      </c>
      <c r="H72">
        <v>5</v>
      </c>
      <c r="I72">
        <v>699</v>
      </c>
      <c r="J72">
        <v>0.1</v>
      </c>
      <c r="K72">
        <v>2163.9699999999998</v>
      </c>
      <c r="L72" t="s">
        <v>34</v>
      </c>
    </row>
    <row r="73" spans="1:12" x14ac:dyDescent="0.3">
      <c r="A73" t="s">
        <v>197</v>
      </c>
      <c r="B73" t="s">
        <v>58</v>
      </c>
      <c r="C73" t="s">
        <v>14</v>
      </c>
      <c r="D73" t="s">
        <v>15</v>
      </c>
      <c r="E73" t="s">
        <v>31</v>
      </c>
      <c r="F73" t="s">
        <v>39</v>
      </c>
      <c r="G73" t="s">
        <v>66</v>
      </c>
      <c r="H73">
        <v>5</v>
      </c>
      <c r="I73">
        <v>1199</v>
      </c>
      <c r="J73">
        <v>0.2</v>
      </c>
      <c r="K73">
        <v>5053.68</v>
      </c>
      <c r="L73" t="s">
        <v>19</v>
      </c>
    </row>
    <row r="74" spans="1:12" x14ac:dyDescent="0.3">
      <c r="A74" t="s">
        <v>198</v>
      </c>
      <c r="B74" t="s">
        <v>199</v>
      </c>
      <c r="C74" t="s">
        <v>63</v>
      </c>
      <c r="D74" t="s">
        <v>15</v>
      </c>
      <c r="E74" t="s">
        <v>31</v>
      </c>
      <c r="F74" t="s">
        <v>17</v>
      </c>
      <c r="G74" t="s">
        <v>18</v>
      </c>
      <c r="H74">
        <v>6</v>
      </c>
      <c r="I74">
        <v>420</v>
      </c>
      <c r="J74">
        <v>0.05</v>
      </c>
      <c r="K74">
        <v>1614.51</v>
      </c>
      <c r="L74" t="s">
        <v>19</v>
      </c>
    </row>
    <row r="75" spans="1:12" x14ac:dyDescent="0.3">
      <c r="A75" t="s">
        <v>200</v>
      </c>
      <c r="B75" t="s">
        <v>201</v>
      </c>
      <c r="C75" t="s">
        <v>63</v>
      </c>
      <c r="D75" t="s">
        <v>15</v>
      </c>
      <c r="F75" t="s">
        <v>17</v>
      </c>
      <c r="G75" t="s">
        <v>18</v>
      </c>
      <c r="H75">
        <v>8</v>
      </c>
      <c r="I75">
        <v>420</v>
      </c>
      <c r="J75">
        <v>0</v>
      </c>
      <c r="K75">
        <v>2727.7</v>
      </c>
      <c r="L75" t="s">
        <v>19</v>
      </c>
    </row>
    <row r="76" spans="1:12" x14ac:dyDescent="0.3">
      <c r="A76" t="s">
        <v>202</v>
      </c>
      <c r="B76" t="s">
        <v>119</v>
      </c>
      <c r="C76" t="s">
        <v>73</v>
      </c>
      <c r="D76" t="s">
        <v>23</v>
      </c>
      <c r="E76" t="s">
        <v>59</v>
      </c>
      <c r="F76" t="s">
        <v>17</v>
      </c>
      <c r="G76" t="s">
        <v>18</v>
      </c>
      <c r="H76">
        <v>1</v>
      </c>
      <c r="I76">
        <v>420</v>
      </c>
      <c r="J76">
        <v>0.1</v>
      </c>
      <c r="K76">
        <v>349.57</v>
      </c>
      <c r="L76" t="s">
        <v>67</v>
      </c>
    </row>
    <row r="77" spans="1:12" x14ac:dyDescent="0.3">
      <c r="A77" t="s">
        <v>203</v>
      </c>
      <c r="B77" t="s">
        <v>204</v>
      </c>
      <c r="C77" t="s">
        <v>14</v>
      </c>
      <c r="D77" t="s">
        <v>23</v>
      </c>
      <c r="E77" t="s">
        <v>59</v>
      </c>
      <c r="F77" t="s">
        <v>25</v>
      </c>
      <c r="G77" t="s">
        <v>70</v>
      </c>
      <c r="H77">
        <v>1</v>
      </c>
      <c r="I77">
        <v>1299</v>
      </c>
      <c r="J77">
        <v>0.05</v>
      </c>
      <c r="K77">
        <v>772.59</v>
      </c>
      <c r="L77" t="s">
        <v>19</v>
      </c>
    </row>
    <row r="78" spans="1:12" x14ac:dyDescent="0.3">
      <c r="A78" t="s">
        <v>205</v>
      </c>
      <c r="B78" t="s">
        <v>206</v>
      </c>
      <c r="C78" t="s">
        <v>14</v>
      </c>
      <c r="D78" t="s">
        <v>15</v>
      </c>
      <c r="E78" t="s">
        <v>24</v>
      </c>
      <c r="F78" t="s">
        <v>32</v>
      </c>
      <c r="G78" t="s">
        <v>33</v>
      </c>
      <c r="H78">
        <v>4</v>
      </c>
      <c r="I78">
        <v>1499</v>
      </c>
      <c r="J78">
        <v>0.2</v>
      </c>
      <c r="K78">
        <v>3982.02</v>
      </c>
      <c r="L78" t="s">
        <v>67</v>
      </c>
    </row>
    <row r="79" spans="1:12" x14ac:dyDescent="0.3">
      <c r="A79" t="s">
        <v>207</v>
      </c>
      <c r="B79" t="s">
        <v>166</v>
      </c>
      <c r="C79" t="s">
        <v>22</v>
      </c>
      <c r="D79" t="s">
        <v>23</v>
      </c>
      <c r="E79" t="s">
        <v>38</v>
      </c>
      <c r="F79" t="s">
        <v>25</v>
      </c>
      <c r="G79" t="s">
        <v>70</v>
      </c>
      <c r="H79">
        <v>2</v>
      </c>
      <c r="I79">
        <v>1299</v>
      </c>
      <c r="J79">
        <v>0.05</v>
      </c>
      <c r="K79">
        <v>1916.43</v>
      </c>
      <c r="L79" t="s">
        <v>44</v>
      </c>
    </row>
    <row r="80" spans="1:12" x14ac:dyDescent="0.3">
      <c r="A80" t="s">
        <v>208</v>
      </c>
      <c r="B80" t="s">
        <v>209</v>
      </c>
      <c r="C80" t="s">
        <v>14</v>
      </c>
      <c r="D80" t="s">
        <v>15</v>
      </c>
      <c r="E80" t="s">
        <v>31</v>
      </c>
      <c r="F80" t="s">
        <v>39</v>
      </c>
      <c r="G80" t="s">
        <v>210</v>
      </c>
      <c r="H80">
        <v>2</v>
      </c>
      <c r="I80">
        <v>1999</v>
      </c>
      <c r="J80">
        <v>0.05</v>
      </c>
      <c r="K80">
        <v>2202.11</v>
      </c>
      <c r="L80" t="s">
        <v>67</v>
      </c>
    </row>
    <row r="81" spans="1:12" x14ac:dyDescent="0.3">
      <c r="A81" t="s">
        <v>211</v>
      </c>
      <c r="B81" t="s">
        <v>212</v>
      </c>
      <c r="C81" t="s">
        <v>22</v>
      </c>
      <c r="D81" t="s">
        <v>23</v>
      </c>
      <c r="E81" t="s">
        <v>38</v>
      </c>
      <c r="F81" t="s">
        <v>25</v>
      </c>
      <c r="G81" t="s">
        <v>79</v>
      </c>
      <c r="H81">
        <v>5</v>
      </c>
      <c r="I81">
        <v>899</v>
      </c>
      <c r="J81">
        <v>0.1</v>
      </c>
      <c r="K81">
        <v>3420.23</v>
      </c>
      <c r="L81" t="s">
        <v>67</v>
      </c>
    </row>
    <row r="82" spans="1:12" x14ac:dyDescent="0.3">
      <c r="A82" t="s">
        <v>213</v>
      </c>
      <c r="B82" t="s">
        <v>214</v>
      </c>
      <c r="C82" t="s">
        <v>30</v>
      </c>
      <c r="D82" t="s">
        <v>23</v>
      </c>
      <c r="E82" t="s">
        <v>16</v>
      </c>
      <c r="F82" t="s">
        <v>39</v>
      </c>
      <c r="G82" t="s">
        <v>66</v>
      </c>
      <c r="H82">
        <v>2</v>
      </c>
      <c r="I82">
        <v>1199</v>
      </c>
      <c r="J82">
        <v>0.2</v>
      </c>
      <c r="K82">
        <v>1480.63</v>
      </c>
      <c r="L82" t="s">
        <v>34</v>
      </c>
    </row>
    <row r="83" spans="1:12" x14ac:dyDescent="0.3">
      <c r="A83" t="s">
        <v>215</v>
      </c>
      <c r="B83" t="s">
        <v>216</v>
      </c>
      <c r="C83" t="s">
        <v>82</v>
      </c>
      <c r="D83" t="s">
        <v>15</v>
      </c>
      <c r="E83" t="s">
        <v>24</v>
      </c>
      <c r="F83" t="s">
        <v>39</v>
      </c>
      <c r="G83" t="s">
        <v>106</v>
      </c>
      <c r="H83">
        <v>5</v>
      </c>
      <c r="I83">
        <v>999</v>
      </c>
      <c r="J83">
        <v>0.15</v>
      </c>
      <c r="K83">
        <v>2933.59</v>
      </c>
      <c r="L83" t="s">
        <v>44</v>
      </c>
    </row>
    <row r="84" spans="1:12" x14ac:dyDescent="0.3">
      <c r="A84" t="s">
        <v>217</v>
      </c>
      <c r="B84" t="s">
        <v>178</v>
      </c>
      <c r="C84" t="s">
        <v>37</v>
      </c>
      <c r="D84" t="s">
        <v>23</v>
      </c>
      <c r="E84" t="s">
        <v>47</v>
      </c>
      <c r="F84" t="s">
        <v>32</v>
      </c>
      <c r="G84" t="s">
        <v>97</v>
      </c>
      <c r="H84">
        <v>2</v>
      </c>
      <c r="I84">
        <v>899</v>
      </c>
      <c r="J84">
        <v>0.2</v>
      </c>
      <c r="K84">
        <v>1010.4</v>
      </c>
      <c r="L84" t="s">
        <v>67</v>
      </c>
    </row>
    <row r="85" spans="1:12" x14ac:dyDescent="0.3">
      <c r="A85" t="s">
        <v>218</v>
      </c>
      <c r="B85" t="s">
        <v>219</v>
      </c>
      <c r="C85" t="s">
        <v>22</v>
      </c>
      <c r="D85" t="s">
        <v>23</v>
      </c>
      <c r="E85" t="s">
        <v>24</v>
      </c>
      <c r="F85" t="s">
        <v>25</v>
      </c>
      <c r="G85" t="s">
        <v>79</v>
      </c>
      <c r="H85">
        <v>1</v>
      </c>
      <c r="I85">
        <v>899</v>
      </c>
      <c r="J85">
        <v>0.1</v>
      </c>
      <c r="K85">
        <v>649.86</v>
      </c>
      <c r="L85" t="s">
        <v>34</v>
      </c>
    </row>
    <row r="86" spans="1:12" x14ac:dyDescent="0.3">
      <c r="A86" t="s">
        <v>220</v>
      </c>
      <c r="B86" t="s">
        <v>174</v>
      </c>
      <c r="C86" t="s">
        <v>76</v>
      </c>
      <c r="D86" t="s">
        <v>23</v>
      </c>
      <c r="E86" t="s">
        <v>221</v>
      </c>
      <c r="F86" t="s">
        <v>39</v>
      </c>
      <c r="G86" t="s">
        <v>210</v>
      </c>
      <c r="H86">
        <v>7</v>
      </c>
      <c r="I86">
        <v>1999</v>
      </c>
      <c r="J86">
        <v>0.15</v>
      </c>
      <c r="K86">
        <v>11764.15</v>
      </c>
      <c r="L86" t="s">
        <v>67</v>
      </c>
    </row>
    <row r="87" spans="1:12" x14ac:dyDescent="0.3">
      <c r="A87" t="s">
        <v>222</v>
      </c>
      <c r="B87" t="s">
        <v>223</v>
      </c>
      <c r="C87" t="s">
        <v>37</v>
      </c>
      <c r="D87" t="s">
        <v>23</v>
      </c>
      <c r="E87" t="s">
        <v>38</v>
      </c>
      <c r="F87" t="s">
        <v>25</v>
      </c>
      <c r="G87" t="s">
        <v>79</v>
      </c>
      <c r="H87">
        <v>6</v>
      </c>
      <c r="I87">
        <v>899</v>
      </c>
      <c r="J87">
        <v>0.15</v>
      </c>
      <c r="K87">
        <v>4089.2</v>
      </c>
      <c r="L87" t="s">
        <v>44</v>
      </c>
    </row>
    <row r="88" spans="1:12" x14ac:dyDescent="0.3">
      <c r="A88" t="s">
        <v>224</v>
      </c>
      <c r="B88" t="s">
        <v>225</v>
      </c>
      <c r="C88" t="s">
        <v>37</v>
      </c>
      <c r="D88" t="s">
        <v>15</v>
      </c>
      <c r="E88" t="s">
        <v>59</v>
      </c>
      <c r="F88" t="s">
        <v>25</v>
      </c>
      <c r="G88" t="s">
        <v>56</v>
      </c>
      <c r="H88">
        <v>5</v>
      </c>
      <c r="I88">
        <v>1499</v>
      </c>
      <c r="J88">
        <v>0.1</v>
      </c>
      <c r="K88">
        <v>4382.8999999999996</v>
      </c>
      <c r="L88" t="s">
        <v>67</v>
      </c>
    </row>
    <row r="89" spans="1:12" x14ac:dyDescent="0.3">
      <c r="A89" t="s">
        <v>226</v>
      </c>
      <c r="B89" t="s">
        <v>227</v>
      </c>
      <c r="C89" t="s">
        <v>92</v>
      </c>
      <c r="D89" t="s">
        <v>23</v>
      </c>
      <c r="E89" t="s">
        <v>59</v>
      </c>
      <c r="F89" t="s">
        <v>25</v>
      </c>
      <c r="G89" t="s">
        <v>79</v>
      </c>
      <c r="H89">
        <v>6</v>
      </c>
      <c r="I89">
        <v>899</v>
      </c>
      <c r="J89">
        <v>0.2</v>
      </c>
      <c r="K89">
        <v>4190.78</v>
      </c>
      <c r="L89" t="s">
        <v>67</v>
      </c>
    </row>
    <row r="90" spans="1:12" x14ac:dyDescent="0.3">
      <c r="A90" t="s">
        <v>228</v>
      </c>
      <c r="B90" t="s">
        <v>229</v>
      </c>
      <c r="C90" t="s">
        <v>30</v>
      </c>
      <c r="D90" t="s">
        <v>23</v>
      </c>
      <c r="E90" t="s">
        <v>47</v>
      </c>
      <c r="F90" t="s">
        <v>39</v>
      </c>
      <c r="G90" t="s">
        <v>106</v>
      </c>
      <c r="H90">
        <v>8</v>
      </c>
      <c r="I90">
        <v>999</v>
      </c>
      <c r="J90">
        <v>0.15</v>
      </c>
      <c r="K90">
        <v>4686.7299999999996</v>
      </c>
      <c r="L90" t="s">
        <v>19</v>
      </c>
    </row>
    <row r="91" spans="1:12" x14ac:dyDescent="0.3">
      <c r="A91" t="s">
        <v>230</v>
      </c>
      <c r="B91" t="s">
        <v>231</v>
      </c>
      <c r="C91" t="s">
        <v>82</v>
      </c>
      <c r="D91" t="s">
        <v>23</v>
      </c>
      <c r="E91" t="s">
        <v>47</v>
      </c>
      <c r="F91" t="s">
        <v>25</v>
      </c>
      <c r="G91" t="s">
        <v>70</v>
      </c>
      <c r="H91">
        <v>7</v>
      </c>
      <c r="I91">
        <v>1299</v>
      </c>
      <c r="J91">
        <v>0</v>
      </c>
      <c r="K91">
        <v>5614.11</v>
      </c>
      <c r="L91" t="s">
        <v>27</v>
      </c>
    </row>
    <row r="92" spans="1:12" x14ac:dyDescent="0.3">
      <c r="A92" t="s">
        <v>232</v>
      </c>
      <c r="B92" t="s">
        <v>233</v>
      </c>
      <c r="C92" t="s">
        <v>14</v>
      </c>
      <c r="D92" t="s">
        <v>15</v>
      </c>
      <c r="E92" t="s">
        <v>59</v>
      </c>
      <c r="F92" t="s">
        <v>17</v>
      </c>
      <c r="G92" t="s">
        <v>74</v>
      </c>
      <c r="H92">
        <v>5</v>
      </c>
      <c r="I92">
        <v>240</v>
      </c>
      <c r="J92">
        <v>0.15</v>
      </c>
      <c r="K92">
        <v>960.5</v>
      </c>
      <c r="L92" t="s">
        <v>67</v>
      </c>
    </row>
    <row r="93" spans="1:12" x14ac:dyDescent="0.3">
      <c r="A93" t="s">
        <v>234</v>
      </c>
      <c r="B93" t="s">
        <v>235</v>
      </c>
      <c r="C93" t="s">
        <v>73</v>
      </c>
      <c r="D93" t="s">
        <v>15</v>
      </c>
      <c r="E93" t="s">
        <v>59</v>
      </c>
      <c r="F93" t="s">
        <v>39</v>
      </c>
      <c r="G93" t="s">
        <v>210</v>
      </c>
      <c r="H93">
        <v>3</v>
      </c>
      <c r="I93">
        <v>1999</v>
      </c>
      <c r="J93">
        <v>0</v>
      </c>
      <c r="K93">
        <v>3795.35</v>
      </c>
      <c r="L93" t="s">
        <v>67</v>
      </c>
    </row>
    <row r="94" spans="1:12" x14ac:dyDescent="0.3">
      <c r="A94" t="s">
        <v>236</v>
      </c>
      <c r="B94" t="s">
        <v>237</v>
      </c>
      <c r="C94" t="s">
        <v>76</v>
      </c>
      <c r="D94" t="s">
        <v>23</v>
      </c>
      <c r="E94" t="s">
        <v>24</v>
      </c>
      <c r="F94" t="s">
        <v>17</v>
      </c>
      <c r="G94" t="s">
        <v>113</v>
      </c>
      <c r="H94">
        <v>8</v>
      </c>
      <c r="I94">
        <v>180</v>
      </c>
      <c r="J94">
        <v>0.05</v>
      </c>
      <c r="K94">
        <v>984.91</v>
      </c>
      <c r="L94" t="s">
        <v>67</v>
      </c>
    </row>
    <row r="95" spans="1:12" x14ac:dyDescent="0.3">
      <c r="A95" t="s">
        <v>238</v>
      </c>
      <c r="B95" t="s">
        <v>239</v>
      </c>
      <c r="C95" t="s">
        <v>43</v>
      </c>
      <c r="D95" t="s">
        <v>23</v>
      </c>
      <c r="E95" t="s">
        <v>59</v>
      </c>
      <c r="F95" t="s">
        <v>17</v>
      </c>
      <c r="G95" t="s">
        <v>18</v>
      </c>
      <c r="H95">
        <v>4</v>
      </c>
      <c r="I95">
        <v>420</v>
      </c>
      <c r="J95">
        <v>0.2</v>
      </c>
      <c r="K95">
        <v>1117.02</v>
      </c>
      <c r="L95" t="s">
        <v>67</v>
      </c>
    </row>
    <row r="96" spans="1:12" x14ac:dyDescent="0.3">
      <c r="A96" t="s">
        <v>240</v>
      </c>
      <c r="B96" t="s">
        <v>241</v>
      </c>
      <c r="C96" t="s">
        <v>43</v>
      </c>
      <c r="D96" t="s">
        <v>23</v>
      </c>
      <c r="E96" t="s">
        <v>16</v>
      </c>
      <c r="F96" t="s">
        <v>32</v>
      </c>
      <c r="G96" t="s">
        <v>97</v>
      </c>
      <c r="H96">
        <v>3</v>
      </c>
      <c r="I96">
        <v>899</v>
      </c>
      <c r="J96">
        <v>0.15</v>
      </c>
      <c r="K96">
        <v>2263.9899999999998</v>
      </c>
      <c r="L96" t="s">
        <v>34</v>
      </c>
    </row>
    <row r="97" spans="1:12" x14ac:dyDescent="0.3">
      <c r="A97" t="s">
        <v>242</v>
      </c>
      <c r="B97" t="s">
        <v>243</v>
      </c>
      <c r="C97" t="s">
        <v>22</v>
      </c>
      <c r="D97" t="s">
        <v>23</v>
      </c>
      <c r="E97" t="s">
        <v>24</v>
      </c>
      <c r="F97" t="s">
        <v>32</v>
      </c>
      <c r="G97" t="s">
        <v>103</v>
      </c>
      <c r="H97">
        <v>8</v>
      </c>
      <c r="I97">
        <v>499</v>
      </c>
      <c r="J97">
        <v>0</v>
      </c>
      <c r="K97">
        <v>3060.8</v>
      </c>
      <c r="L97" t="s">
        <v>67</v>
      </c>
    </row>
    <row r="98" spans="1:12" x14ac:dyDescent="0.3">
      <c r="A98" t="s">
        <v>244</v>
      </c>
      <c r="B98" t="s">
        <v>245</v>
      </c>
      <c r="C98" t="s">
        <v>82</v>
      </c>
      <c r="D98" t="s">
        <v>15</v>
      </c>
      <c r="E98" t="s">
        <v>59</v>
      </c>
      <c r="F98" t="s">
        <v>17</v>
      </c>
      <c r="G98" t="s">
        <v>113</v>
      </c>
      <c r="H98">
        <v>7</v>
      </c>
      <c r="I98">
        <v>180</v>
      </c>
      <c r="J98">
        <v>0</v>
      </c>
      <c r="K98">
        <v>1014.97</v>
      </c>
      <c r="L98" t="s">
        <v>19</v>
      </c>
    </row>
    <row r="99" spans="1:12" x14ac:dyDescent="0.3">
      <c r="A99" t="s">
        <v>246</v>
      </c>
      <c r="B99" t="s">
        <v>247</v>
      </c>
      <c r="C99" t="s">
        <v>43</v>
      </c>
      <c r="D99" t="s">
        <v>23</v>
      </c>
      <c r="E99" t="s">
        <v>47</v>
      </c>
      <c r="F99" t="s">
        <v>25</v>
      </c>
      <c r="G99" t="s">
        <v>70</v>
      </c>
      <c r="H99">
        <v>2</v>
      </c>
      <c r="I99">
        <v>1299</v>
      </c>
      <c r="J99">
        <v>0.05</v>
      </c>
      <c r="K99">
        <v>1920.83</v>
      </c>
      <c r="L99" t="s">
        <v>44</v>
      </c>
    </row>
    <row r="100" spans="1:12" x14ac:dyDescent="0.3">
      <c r="A100" t="s">
        <v>248</v>
      </c>
      <c r="B100" t="s">
        <v>249</v>
      </c>
      <c r="C100" t="s">
        <v>14</v>
      </c>
      <c r="D100" t="s">
        <v>23</v>
      </c>
      <c r="E100" t="s">
        <v>24</v>
      </c>
      <c r="F100" t="s">
        <v>25</v>
      </c>
      <c r="G100" t="s">
        <v>250</v>
      </c>
      <c r="H100">
        <v>3</v>
      </c>
      <c r="I100">
        <v>299</v>
      </c>
      <c r="J100">
        <v>0.1</v>
      </c>
      <c r="K100">
        <v>736.46</v>
      </c>
      <c r="L100" t="s">
        <v>27</v>
      </c>
    </row>
    <row r="101" spans="1:12" x14ac:dyDescent="0.3">
      <c r="A101" t="s">
        <v>251</v>
      </c>
      <c r="B101" t="s">
        <v>252</v>
      </c>
      <c r="C101" t="s">
        <v>92</v>
      </c>
      <c r="D101" t="s">
        <v>23</v>
      </c>
      <c r="E101" t="s">
        <v>38</v>
      </c>
      <c r="F101" t="s">
        <v>17</v>
      </c>
      <c r="G101" t="s">
        <v>86</v>
      </c>
      <c r="H101">
        <v>3</v>
      </c>
      <c r="I101">
        <v>55</v>
      </c>
      <c r="J101">
        <v>0.05</v>
      </c>
      <c r="K101">
        <v>117.04</v>
      </c>
      <c r="L101" t="s">
        <v>19</v>
      </c>
    </row>
    <row r="102" spans="1:12" x14ac:dyDescent="0.3">
      <c r="A102" t="s">
        <v>253</v>
      </c>
      <c r="B102" t="s">
        <v>254</v>
      </c>
      <c r="C102" t="s">
        <v>82</v>
      </c>
      <c r="D102" t="s">
        <v>15</v>
      </c>
      <c r="E102" t="s">
        <v>31</v>
      </c>
      <c r="F102" t="s">
        <v>25</v>
      </c>
      <c r="G102" t="s">
        <v>70</v>
      </c>
      <c r="H102">
        <v>7</v>
      </c>
      <c r="I102">
        <v>1299</v>
      </c>
      <c r="J102">
        <v>0.2</v>
      </c>
      <c r="K102">
        <v>6864.67</v>
      </c>
      <c r="L102" t="s">
        <v>67</v>
      </c>
    </row>
    <row r="103" spans="1:12" x14ac:dyDescent="0.3">
      <c r="A103" t="s">
        <v>255</v>
      </c>
      <c r="B103" t="s">
        <v>256</v>
      </c>
      <c r="C103" t="s">
        <v>82</v>
      </c>
      <c r="D103" t="s">
        <v>15</v>
      </c>
      <c r="E103" t="s">
        <v>59</v>
      </c>
      <c r="F103" t="s">
        <v>17</v>
      </c>
      <c r="G103" t="s">
        <v>86</v>
      </c>
      <c r="H103">
        <v>5</v>
      </c>
      <c r="I103">
        <v>55</v>
      </c>
      <c r="J103">
        <v>0</v>
      </c>
      <c r="K103">
        <v>225.41</v>
      </c>
      <c r="L103" t="s">
        <v>67</v>
      </c>
    </row>
    <row r="104" spans="1:12" x14ac:dyDescent="0.3">
      <c r="A104" t="s">
        <v>257</v>
      </c>
      <c r="B104" t="s">
        <v>258</v>
      </c>
      <c r="C104" t="s">
        <v>76</v>
      </c>
      <c r="D104" t="s">
        <v>15</v>
      </c>
      <c r="E104" t="s">
        <v>24</v>
      </c>
      <c r="F104" t="s">
        <v>32</v>
      </c>
      <c r="G104" t="s">
        <v>51</v>
      </c>
      <c r="H104">
        <v>5</v>
      </c>
      <c r="I104">
        <v>699</v>
      </c>
      <c r="J104">
        <v>0.15</v>
      </c>
      <c r="K104">
        <v>2646.04</v>
      </c>
      <c r="L104" t="s">
        <v>67</v>
      </c>
    </row>
    <row r="105" spans="1:12" x14ac:dyDescent="0.3">
      <c r="A105" t="s">
        <v>259</v>
      </c>
      <c r="B105" t="s">
        <v>260</v>
      </c>
      <c r="C105" t="s">
        <v>30</v>
      </c>
      <c r="D105" t="s">
        <v>23</v>
      </c>
      <c r="E105" t="s">
        <v>59</v>
      </c>
      <c r="F105" t="s">
        <v>25</v>
      </c>
      <c r="G105" t="s">
        <v>79</v>
      </c>
      <c r="H105">
        <v>7</v>
      </c>
      <c r="I105">
        <v>899</v>
      </c>
      <c r="J105">
        <v>0.2</v>
      </c>
      <c r="K105">
        <v>4138.83</v>
      </c>
      <c r="L105" t="s">
        <v>44</v>
      </c>
    </row>
    <row r="106" spans="1:12" x14ac:dyDescent="0.3">
      <c r="A106" t="s">
        <v>261</v>
      </c>
      <c r="B106" t="s">
        <v>178</v>
      </c>
      <c r="C106" t="s">
        <v>63</v>
      </c>
      <c r="D106" t="s">
        <v>15</v>
      </c>
      <c r="E106" t="s">
        <v>16</v>
      </c>
      <c r="F106" t="s">
        <v>32</v>
      </c>
      <c r="G106" t="s">
        <v>51</v>
      </c>
      <c r="H106">
        <v>1</v>
      </c>
      <c r="I106">
        <v>699</v>
      </c>
      <c r="J106">
        <v>0.2</v>
      </c>
      <c r="K106">
        <v>565.85</v>
      </c>
      <c r="L106" t="s">
        <v>27</v>
      </c>
    </row>
    <row r="107" spans="1:12" x14ac:dyDescent="0.3">
      <c r="A107" t="s">
        <v>262</v>
      </c>
      <c r="B107" t="s">
        <v>263</v>
      </c>
      <c r="C107" t="s">
        <v>73</v>
      </c>
      <c r="D107" t="s">
        <v>23</v>
      </c>
      <c r="E107" t="s">
        <v>31</v>
      </c>
      <c r="F107" t="s">
        <v>17</v>
      </c>
      <c r="G107" t="s">
        <v>18</v>
      </c>
      <c r="H107">
        <v>4</v>
      </c>
      <c r="I107">
        <v>420</v>
      </c>
      <c r="J107">
        <v>0.2</v>
      </c>
      <c r="K107">
        <v>1050.32</v>
      </c>
      <c r="L107" t="s">
        <v>34</v>
      </c>
    </row>
    <row r="108" spans="1:12" x14ac:dyDescent="0.3">
      <c r="A108" t="s">
        <v>264</v>
      </c>
      <c r="B108" t="s">
        <v>46</v>
      </c>
      <c r="C108" t="s">
        <v>14</v>
      </c>
      <c r="D108" t="s">
        <v>15</v>
      </c>
      <c r="E108" t="s">
        <v>38</v>
      </c>
      <c r="F108" t="s">
        <v>32</v>
      </c>
      <c r="G108" t="s">
        <v>103</v>
      </c>
      <c r="H108">
        <v>6</v>
      </c>
      <c r="I108">
        <v>499</v>
      </c>
      <c r="J108">
        <v>0.05</v>
      </c>
      <c r="K108">
        <v>1727.66</v>
      </c>
      <c r="L108" t="s">
        <v>44</v>
      </c>
    </row>
    <row r="109" spans="1:12" x14ac:dyDescent="0.3">
      <c r="A109" t="s">
        <v>265</v>
      </c>
      <c r="B109" t="s">
        <v>172</v>
      </c>
      <c r="C109" t="s">
        <v>37</v>
      </c>
      <c r="D109" t="s">
        <v>15</v>
      </c>
      <c r="E109" t="s">
        <v>31</v>
      </c>
      <c r="F109" t="s">
        <v>39</v>
      </c>
      <c r="G109" t="s">
        <v>210</v>
      </c>
      <c r="H109">
        <v>6</v>
      </c>
      <c r="I109">
        <v>1999</v>
      </c>
      <c r="J109">
        <v>0.2</v>
      </c>
      <c r="K109">
        <v>8402.26</v>
      </c>
      <c r="L109" t="s">
        <v>44</v>
      </c>
    </row>
    <row r="110" spans="1:12" x14ac:dyDescent="0.3">
      <c r="A110" t="s">
        <v>266</v>
      </c>
      <c r="B110" t="s">
        <v>267</v>
      </c>
      <c r="C110" t="s">
        <v>63</v>
      </c>
      <c r="D110" t="s">
        <v>23</v>
      </c>
      <c r="E110" t="s">
        <v>38</v>
      </c>
      <c r="F110" t="s">
        <v>17</v>
      </c>
      <c r="G110" t="s">
        <v>89</v>
      </c>
      <c r="H110">
        <v>8</v>
      </c>
      <c r="I110">
        <v>650</v>
      </c>
      <c r="J110">
        <v>0</v>
      </c>
      <c r="K110">
        <v>3079.58</v>
      </c>
      <c r="L110" t="s">
        <v>34</v>
      </c>
    </row>
    <row r="111" spans="1:12" x14ac:dyDescent="0.3">
      <c r="A111" t="s">
        <v>268</v>
      </c>
      <c r="B111" t="s">
        <v>269</v>
      </c>
      <c r="C111" t="s">
        <v>37</v>
      </c>
      <c r="D111" t="s">
        <v>23</v>
      </c>
      <c r="E111" t="s">
        <v>24</v>
      </c>
      <c r="F111" t="s">
        <v>32</v>
      </c>
      <c r="G111" t="s">
        <v>103</v>
      </c>
      <c r="H111">
        <v>5</v>
      </c>
      <c r="I111">
        <v>499</v>
      </c>
      <c r="J111">
        <v>0.2</v>
      </c>
      <c r="K111">
        <v>1464.76</v>
      </c>
      <c r="L111" t="s">
        <v>44</v>
      </c>
    </row>
    <row r="112" spans="1:12" x14ac:dyDescent="0.3">
      <c r="A112" t="s">
        <v>270</v>
      </c>
      <c r="B112" t="s">
        <v>271</v>
      </c>
      <c r="C112" t="s">
        <v>63</v>
      </c>
      <c r="D112" t="s">
        <v>23</v>
      </c>
      <c r="E112" t="s">
        <v>16</v>
      </c>
      <c r="F112" t="s">
        <v>17</v>
      </c>
      <c r="G112" t="s">
        <v>89</v>
      </c>
      <c r="H112">
        <v>4</v>
      </c>
      <c r="I112">
        <v>650</v>
      </c>
      <c r="J112">
        <v>0.15</v>
      </c>
      <c r="K112">
        <v>1449.52</v>
      </c>
      <c r="L112" t="s">
        <v>19</v>
      </c>
    </row>
    <row r="113" spans="1:12" x14ac:dyDescent="0.3">
      <c r="A113" t="s">
        <v>272</v>
      </c>
      <c r="B113" t="s">
        <v>172</v>
      </c>
      <c r="C113" t="s">
        <v>22</v>
      </c>
      <c r="D113" t="s">
        <v>15</v>
      </c>
      <c r="E113" t="s">
        <v>16</v>
      </c>
      <c r="F113" t="s">
        <v>25</v>
      </c>
      <c r="G113" t="s">
        <v>250</v>
      </c>
      <c r="H113">
        <v>5</v>
      </c>
      <c r="I113">
        <v>299</v>
      </c>
      <c r="J113">
        <v>0.15</v>
      </c>
      <c r="K113">
        <v>874.58</v>
      </c>
      <c r="L113" t="s">
        <v>27</v>
      </c>
    </row>
    <row r="114" spans="1:12" x14ac:dyDescent="0.3">
      <c r="A114" t="s">
        <v>273</v>
      </c>
      <c r="B114" t="s">
        <v>139</v>
      </c>
      <c r="C114" t="s">
        <v>63</v>
      </c>
      <c r="D114" t="s">
        <v>23</v>
      </c>
      <c r="E114" t="s">
        <v>24</v>
      </c>
      <c r="F114" t="s">
        <v>25</v>
      </c>
      <c r="G114" t="s">
        <v>79</v>
      </c>
      <c r="H114">
        <v>3</v>
      </c>
      <c r="I114">
        <v>899</v>
      </c>
      <c r="J114">
        <v>0.15</v>
      </c>
      <c r="K114">
        <v>1850.39</v>
      </c>
      <c r="L114" t="s">
        <v>19</v>
      </c>
    </row>
    <row r="115" spans="1:12" x14ac:dyDescent="0.3">
      <c r="A115" t="s">
        <v>274</v>
      </c>
      <c r="B115" t="s">
        <v>275</v>
      </c>
      <c r="C115" t="s">
        <v>22</v>
      </c>
      <c r="D115" t="s">
        <v>15</v>
      </c>
      <c r="E115" t="s">
        <v>59</v>
      </c>
      <c r="F115" t="s">
        <v>25</v>
      </c>
      <c r="G115" t="s">
        <v>250</v>
      </c>
      <c r="H115">
        <v>7</v>
      </c>
      <c r="I115">
        <v>299</v>
      </c>
      <c r="J115">
        <v>0.1</v>
      </c>
      <c r="K115">
        <v>1171.69</v>
      </c>
      <c r="L115" t="s">
        <v>44</v>
      </c>
    </row>
    <row r="116" spans="1:12" x14ac:dyDescent="0.3">
      <c r="A116" t="s">
        <v>276</v>
      </c>
      <c r="B116" t="s">
        <v>277</v>
      </c>
      <c r="C116" t="s">
        <v>73</v>
      </c>
      <c r="D116" t="s">
        <v>23</v>
      </c>
      <c r="E116" t="s">
        <v>31</v>
      </c>
      <c r="F116" t="s">
        <v>17</v>
      </c>
      <c r="G116" t="s">
        <v>89</v>
      </c>
      <c r="H116">
        <v>6</v>
      </c>
      <c r="I116">
        <v>650</v>
      </c>
      <c r="J116">
        <v>0.2</v>
      </c>
      <c r="K116">
        <v>3199.98</v>
      </c>
      <c r="L116" t="s">
        <v>44</v>
      </c>
    </row>
    <row r="117" spans="1:12" x14ac:dyDescent="0.3">
      <c r="A117" t="s">
        <v>278</v>
      </c>
      <c r="B117" t="s">
        <v>108</v>
      </c>
      <c r="C117" t="s">
        <v>37</v>
      </c>
      <c r="D117" t="s">
        <v>23</v>
      </c>
      <c r="E117" t="s">
        <v>31</v>
      </c>
      <c r="F117" t="s">
        <v>25</v>
      </c>
      <c r="G117" t="s">
        <v>250</v>
      </c>
      <c r="H117">
        <v>2</v>
      </c>
      <c r="I117">
        <v>299</v>
      </c>
      <c r="J117">
        <v>0.05</v>
      </c>
      <c r="K117">
        <v>444.02</v>
      </c>
      <c r="L117" t="s">
        <v>19</v>
      </c>
    </row>
    <row r="118" spans="1:12" x14ac:dyDescent="0.3">
      <c r="A118" t="s">
        <v>279</v>
      </c>
      <c r="B118" t="s">
        <v>176</v>
      </c>
      <c r="C118" t="s">
        <v>92</v>
      </c>
      <c r="D118" t="s">
        <v>23</v>
      </c>
      <c r="E118" t="s">
        <v>31</v>
      </c>
      <c r="F118" t="s">
        <v>39</v>
      </c>
      <c r="G118" t="s">
        <v>210</v>
      </c>
      <c r="H118">
        <v>4</v>
      </c>
      <c r="I118">
        <v>1999</v>
      </c>
      <c r="J118">
        <v>0</v>
      </c>
      <c r="K118">
        <v>6388.37</v>
      </c>
      <c r="L118" t="s">
        <v>19</v>
      </c>
    </row>
    <row r="119" spans="1:12" x14ac:dyDescent="0.3">
      <c r="A119" t="s">
        <v>280</v>
      </c>
      <c r="B119" t="s">
        <v>281</v>
      </c>
      <c r="C119" t="s">
        <v>22</v>
      </c>
      <c r="D119" t="s">
        <v>15</v>
      </c>
      <c r="E119" t="s">
        <v>31</v>
      </c>
      <c r="F119" t="s">
        <v>17</v>
      </c>
      <c r="G119" t="s">
        <v>18</v>
      </c>
      <c r="H119">
        <v>1</v>
      </c>
      <c r="I119">
        <v>420</v>
      </c>
      <c r="J119">
        <v>0.1</v>
      </c>
      <c r="K119">
        <v>339.16</v>
      </c>
      <c r="L119" t="s">
        <v>34</v>
      </c>
    </row>
    <row r="120" spans="1:12" x14ac:dyDescent="0.3">
      <c r="A120" t="s">
        <v>282</v>
      </c>
      <c r="B120" t="s">
        <v>126</v>
      </c>
      <c r="C120" t="s">
        <v>76</v>
      </c>
      <c r="D120" t="s">
        <v>23</v>
      </c>
      <c r="E120" t="s">
        <v>31</v>
      </c>
      <c r="F120" t="s">
        <v>25</v>
      </c>
      <c r="G120" t="s">
        <v>26</v>
      </c>
      <c r="H120">
        <v>3</v>
      </c>
      <c r="I120">
        <v>599</v>
      </c>
      <c r="J120">
        <v>0</v>
      </c>
      <c r="K120">
        <v>1181.48</v>
      </c>
      <c r="L120" t="s">
        <v>34</v>
      </c>
    </row>
    <row r="121" spans="1:12" x14ac:dyDescent="0.3">
      <c r="A121" t="s">
        <v>283</v>
      </c>
      <c r="B121" t="s">
        <v>284</v>
      </c>
      <c r="C121" t="s">
        <v>43</v>
      </c>
      <c r="D121" t="s">
        <v>15</v>
      </c>
      <c r="E121" t="s">
        <v>31</v>
      </c>
      <c r="F121" t="s">
        <v>17</v>
      </c>
      <c r="G121" t="s">
        <v>89</v>
      </c>
      <c r="H121">
        <v>3</v>
      </c>
      <c r="I121">
        <v>650</v>
      </c>
      <c r="J121">
        <v>0.15</v>
      </c>
      <c r="K121">
        <v>1380.26</v>
      </c>
      <c r="L121" t="s">
        <v>27</v>
      </c>
    </row>
    <row r="122" spans="1:12" x14ac:dyDescent="0.3">
      <c r="A122" t="s">
        <v>285</v>
      </c>
      <c r="B122" t="s">
        <v>286</v>
      </c>
      <c r="C122" t="s">
        <v>73</v>
      </c>
      <c r="D122" t="s">
        <v>23</v>
      </c>
      <c r="E122" t="s">
        <v>47</v>
      </c>
      <c r="F122" t="s">
        <v>25</v>
      </c>
      <c r="G122" t="s">
        <v>250</v>
      </c>
      <c r="H122">
        <v>4</v>
      </c>
      <c r="I122">
        <v>299</v>
      </c>
      <c r="J122">
        <v>0.2</v>
      </c>
      <c r="K122">
        <v>673.36</v>
      </c>
      <c r="L122" t="s">
        <v>19</v>
      </c>
    </row>
    <row r="123" spans="1:12" x14ac:dyDescent="0.3">
      <c r="A123" t="s">
        <v>287</v>
      </c>
      <c r="B123" t="s">
        <v>260</v>
      </c>
      <c r="C123" t="s">
        <v>73</v>
      </c>
      <c r="D123" t="s">
        <v>15</v>
      </c>
      <c r="E123" t="s">
        <v>24</v>
      </c>
      <c r="F123" t="s">
        <v>32</v>
      </c>
      <c r="G123" t="s">
        <v>97</v>
      </c>
      <c r="H123">
        <v>7</v>
      </c>
      <c r="I123">
        <v>899</v>
      </c>
      <c r="J123">
        <v>0</v>
      </c>
      <c r="K123">
        <v>4386.7299999999996</v>
      </c>
      <c r="L123" t="s">
        <v>67</v>
      </c>
    </row>
    <row r="124" spans="1:12" x14ac:dyDescent="0.3">
      <c r="A124" t="s">
        <v>288</v>
      </c>
      <c r="B124" t="s">
        <v>117</v>
      </c>
      <c r="C124" t="s">
        <v>14</v>
      </c>
      <c r="D124" t="s">
        <v>23</v>
      </c>
      <c r="E124" t="s">
        <v>47</v>
      </c>
      <c r="F124" t="s">
        <v>39</v>
      </c>
      <c r="G124" t="s">
        <v>48</v>
      </c>
      <c r="H124">
        <v>3</v>
      </c>
      <c r="I124">
        <v>799</v>
      </c>
      <c r="J124">
        <v>0.1</v>
      </c>
      <c r="K124">
        <v>1767.3</v>
      </c>
      <c r="L124" t="s">
        <v>19</v>
      </c>
    </row>
    <row r="125" spans="1:12" x14ac:dyDescent="0.3">
      <c r="A125" t="s">
        <v>289</v>
      </c>
      <c r="B125" t="s">
        <v>290</v>
      </c>
      <c r="C125" t="s">
        <v>43</v>
      </c>
      <c r="D125" t="s">
        <v>23</v>
      </c>
      <c r="E125" t="s">
        <v>47</v>
      </c>
      <c r="F125" t="s">
        <v>17</v>
      </c>
      <c r="G125" t="s">
        <v>86</v>
      </c>
      <c r="H125">
        <v>7</v>
      </c>
      <c r="I125">
        <v>55</v>
      </c>
      <c r="J125">
        <v>0</v>
      </c>
      <c r="K125">
        <v>303.35000000000002</v>
      </c>
      <c r="L125" t="s">
        <v>27</v>
      </c>
    </row>
    <row r="126" spans="1:12" x14ac:dyDescent="0.3">
      <c r="A126" t="s">
        <v>291</v>
      </c>
      <c r="B126" t="s">
        <v>245</v>
      </c>
      <c r="C126" t="s">
        <v>76</v>
      </c>
      <c r="D126" t="s">
        <v>15</v>
      </c>
      <c r="E126" t="s">
        <v>59</v>
      </c>
      <c r="F126" t="s">
        <v>32</v>
      </c>
      <c r="G126" t="s">
        <v>60</v>
      </c>
      <c r="H126">
        <v>7</v>
      </c>
      <c r="I126">
        <v>1299</v>
      </c>
      <c r="J126">
        <v>0.1</v>
      </c>
      <c r="K126">
        <v>7258.27</v>
      </c>
      <c r="L126" t="s">
        <v>67</v>
      </c>
    </row>
    <row r="127" spans="1:12" x14ac:dyDescent="0.3">
      <c r="A127" t="s">
        <v>292</v>
      </c>
      <c r="B127" t="s">
        <v>293</v>
      </c>
      <c r="C127" t="s">
        <v>14</v>
      </c>
      <c r="D127" t="s">
        <v>23</v>
      </c>
      <c r="E127" t="s">
        <v>59</v>
      </c>
      <c r="F127" t="s">
        <v>17</v>
      </c>
      <c r="G127" t="s">
        <v>113</v>
      </c>
      <c r="H127">
        <v>6</v>
      </c>
      <c r="I127">
        <v>180</v>
      </c>
      <c r="J127">
        <v>0.05</v>
      </c>
      <c r="K127">
        <v>816.53</v>
      </c>
      <c r="L127" t="s">
        <v>67</v>
      </c>
    </row>
    <row r="128" spans="1:12" x14ac:dyDescent="0.3">
      <c r="A128" t="s">
        <v>294</v>
      </c>
      <c r="B128" t="s">
        <v>295</v>
      </c>
      <c r="C128" t="s">
        <v>14</v>
      </c>
      <c r="D128" t="s">
        <v>15</v>
      </c>
      <c r="E128" t="s">
        <v>24</v>
      </c>
      <c r="F128" t="s">
        <v>32</v>
      </c>
      <c r="G128" t="s">
        <v>103</v>
      </c>
      <c r="H128">
        <v>6</v>
      </c>
      <c r="I128">
        <v>499</v>
      </c>
      <c r="J128">
        <v>0.05</v>
      </c>
      <c r="K128">
        <v>2146.4299999999998</v>
      </c>
      <c r="L128" t="s">
        <v>19</v>
      </c>
    </row>
    <row r="129" spans="1:12" x14ac:dyDescent="0.3">
      <c r="A129" t="s">
        <v>296</v>
      </c>
      <c r="B129" t="s">
        <v>29</v>
      </c>
      <c r="C129" t="s">
        <v>76</v>
      </c>
      <c r="D129" t="s">
        <v>23</v>
      </c>
      <c r="E129" t="s">
        <v>16</v>
      </c>
      <c r="F129" t="s">
        <v>25</v>
      </c>
      <c r="G129" t="s">
        <v>250</v>
      </c>
      <c r="H129">
        <v>6</v>
      </c>
      <c r="I129">
        <v>299</v>
      </c>
      <c r="J129">
        <v>0.15</v>
      </c>
      <c r="K129">
        <v>1453.91</v>
      </c>
      <c r="L129" t="s">
        <v>27</v>
      </c>
    </row>
    <row r="130" spans="1:12" x14ac:dyDescent="0.3">
      <c r="A130" t="s">
        <v>297</v>
      </c>
      <c r="B130" t="s">
        <v>258</v>
      </c>
      <c r="C130" t="s">
        <v>22</v>
      </c>
      <c r="D130" t="s">
        <v>23</v>
      </c>
      <c r="E130" t="s">
        <v>38</v>
      </c>
      <c r="F130" t="s">
        <v>25</v>
      </c>
      <c r="G130" t="s">
        <v>70</v>
      </c>
      <c r="H130">
        <v>4</v>
      </c>
      <c r="I130">
        <v>1299</v>
      </c>
      <c r="J130">
        <v>0.05</v>
      </c>
      <c r="K130">
        <v>3881.52</v>
      </c>
      <c r="L130" t="s">
        <v>34</v>
      </c>
    </row>
    <row r="131" spans="1:12" x14ac:dyDescent="0.3">
      <c r="A131" t="s">
        <v>298</v>
      </c>
      <c r="B131" t="s">
        <v>99</v>
      </c>
      <c r="C131" t="s">
        <v>43</v>
      </c>
      <c r="D131" t="s">
        <v>23</v>
      </c>
      <c r="E131" t="s">
        <v>24</v>
      </c>
      <c r="F131" t="s">
        <v>17</v>
      </c>
      <c r="G131" t="s">
        <v>74</v>
      </c>
      <c r="H131">
        <v>4</v>
      </c>
      <c r="I131">
        <v>240</v>
      </c>
      <c r="J131">
        <v>0.15</v>
      </c>
      <c r="K131">
        <v>771.4</v>
      </c>
      <c r="L131" t="s">
        <v>19</v>
      </c>
    </row>
    <row r="132" spans="1:12" x14ac:dyDescent="0.3">
      <c r="A132" t="s">
        <v>299</v>
      </c>
      <c r="B132" t="s">
        <v>300</v>
      </c>
      <c r="C132" t="s">
        <v>76</v>
      </c>
      <c r="D132" t="s">
        <v>15</v>
      </c>
      <c r="E132" t="s">
        <v>47</v>
      </c>
      <c r="F132" t="s">
        <v>17</v>
      </c>
      <c r="G132" t="s">
        <v>89</v>
      </c>
      <c r="H132">
        <v>3</v>
      </c>
      <c r="I132">
        <v>650</v>
      </c>
      <c r="J132">
        <v>0.1</v>
      </c>
      <c r="K132">
        <v>1483.58</v>
      </c>
      <c r="L132" t="s">
        <v>44</v>
      </c>
    </row>
    <row r="133" spans="1:12" x14ac:dyDescent="0.3">
      <c r="A133" t="s">
        <v>301</v>
      </c>
      <c r="B133" t="s">
        <v>302</v>
      </c>
      <c r="C133" t="s">
        <v>43</v>
      </c>
      <c r="D133" t="s">
        <v>15</v>
      </c>
      <c r="E133" t="s">
        <v>31</v>
      </c>
      <c r="F133" t="s">
        <v>39</v>
      </c>
      <c r="G133" t="s">
        <v>210</v>
      </c>
      <c r="H133">
        <v>7</v>
      </c>
      <c r="I133">
        <v>1999</v>
      </c>
      <c r="J133">
        <v>0</v>
      </c>
      <c r="K133">
        <v>8291.73</v>
      </c>
      <c r="L133" t="s">
        <v>27</v>
      </c>
    </row>
    <row r="134" spans="1:12" x14ac:dyDescent="0.3">
      <c r="A134" t="s">
        <v>303</v>
      </c>
      <c r="B134" t="s">
        <v>304</v>
      </c>
      <c r="C134" t="s">
        <v>76</v>
      </c>
      <c r="D134" t="s">
        <v>15</v>
      </c>
      <c r="E134" t="s">
        <v>59</v>
      </c>
      <c r="F134" t="s">
        <v>32</v>
      </c>
      <c r="G134" t="s">
        <v>97</v>
      </c>
      <c r="H134">
        <v>6</v>
      </c>
      <c r="I134">
        <v>899</v>
      </c>
      <c r="J134">
        <v>0.05</v>
      </c>
      <c r="K134">
        <v>3565.52</v>
      </c>
      <c r="L134" t="s">
        <v>44</v>
      </c>
    </row>
    <row r="135" spans="1:12" x14ac:dyDescent="0.3">
      <c r="A135" t="s">
        <v>305</v>
      </c>
      <c r="B135" t="s">
        <v>306</v>
      </c>
      <c r="C135" t="s">
        <v>22</v>
      </c>
      <c r="D135" t="s">
        <v>15</v>
      </c>
      <c r="E135" t="s">
        <v>24</v>
      </c>
      <c r="F135" t="s">
        <v>39</v>
      </c>
      <c r="G135" t="s">
        <v>40</v>
      </c>
      <c r="H135">
        <v>1</v>
      </c>
      <c r="I135">
        <v>1599</v>
      </c>
      <c r="J135">
        <v>0</v>
      </c>
      <c r="K135">
        <v>1009.98</v>
      </c>
      <c r="L135" t="s">
        <v>67</v>
      </c>
    </row>
    <row r="136" spans="1:12" x14ac:dyDescent="0.3">
      <c r="A136" t="s">
        <v>307</v>
      </c>
      <c r="B136" t="s">
        <v>308</v>
      </c>
      <c r="C136" t="s">
        <v>22</v>
      </c>
      <c r="D136" t="s">
        <v>23</v>
      </c>
      <c r="E136" t="s">
        <v>59</v>
      </c>
      <c r="F136" t="s">
        <v>17</v>
      </c>
      <c r="G136" t="s">
        <v>18</v>
      </c>
      <c r="H136">
        <v>2</v>
      </c>
      <c r="I136">
        <v>420</v>
      </c>
      <c r="J136">
        <v>0.1</v>
      </c>
      <c r="K136">
        <v>570.34</v>
      </c>
      <c r="L136" t="s">
        <v>44</v>
      </c>
    </row>
    <row r="137" spans="1:12" x14ac:dyDescent="0.3">
      <c r="A137" t="s">
        <v>309</v>
      </c>
      <c r="B137" t="s">
        <v>310</v>
      </c>
      <c r="C137" t="s">
        <v>22</v>
      </c>
      <c r="D137" t="s">
        <v>23</v>
      </c>
      <c r="E137" t="s">
        <v>47</v>
      </c>
      <c r="F137" t="s">
        <v>17</v>
      </c>
      <c r="G137" t="s">
        <v>89</v>
      </c>
      <c r="H137">
        <v>4</v>
      </c>
      <c r="I137">
        <v>650</v>
      </c>
      <c r="J137">
        <v>0.15</v>
      </c>
      <c r="K137">
        <v>2197.87</v>
      </c>
      <c r="L137" t="s">
        <v>27</v>
      </c>
    </row>
    <row r="138" spans="1:12" x14ac:dyDescent="0.3">
      <c r="A138" t="s">
        <v>311</v>
      </c>
      <c r="B138" t="s">
        <v>312</v>
      </c>
      <c r="C138" t="s">
        <v>30</v>
      </c>
      <c r="D138" t="s">
        <v>23</v>
      </c>
      <c r="E138" t="s">
        <v>31</v>
      </c>
      <c r="F138" t="s">
        <v>39</v>
      </c>
      <c r="G138" t="s">
        <v>106</v>
      </c>
      <c r="H138">
        <v>5</v>
      </c>
      <c r="I138">
        <v>999</v>
      </c>
      <c r="J138">
        <v>0.1</v>
      </c>
      <c r="K138">
        <v>2927.05</v>
      </c>
      <c r="L138" t="s">
        <v>67</v>
      </c>
    </row>
    <row r="139" spans="1:12" x14ac:dyDescent="0.3">
      <c r="A139" t="s">
        <v>313</v>
      </c>
      <c r="B139" t="s">
        <v>314</v>
      </c>
      <c r="C139" t="s">
        <v>82</v>
      </c>
      <c r="D139" t="s">
        <v>15</v>
      </c>
      <c r="E139" t="s">
        <v>59</v>
      </c>
      <c r="F139" t="s">
        <v>39</v>
      </c>
      <c r="G139" t="s">
        <v>210</v>
      </c>
      <c r="H139">
        <v>6</v>
      </c>
      <c r="I139">
        <v>1999</v>
      </c>
      <c r="J139">
        <v>0</v>
      </c>
      <c r="K139">
        <v>8025.44</v>
      </c>
      <c r="L139" t="s">
        <v>27</v>
      </c>
    </row>
    <row r="140" spans="1:12" x14ac:dyDescent="0.3">
      <c r="A140" t="s">
        <v>315</v>
      </c>
      <c r="B140" t="s">
        <v>316</v>
      </c>
      <c r="C140" t="s">
        <v>92</v>
      </c>
      <c r="D140" t="s">
        <v>23</v>
      </c>
      <c r="E140" t="s">
        <v>24</v>
      </c>
      <c r="F140" t="s">
        <v>17</v>
      </c>
      <c r="G140" t="s">
        <v>74</v>
      </c>
      <c r="H140">
        <v>7</v>
      </c>
      <c r="I140">
        <v>240</v>
      </c>
      <c r="J140">
        <v>0.2</v>
      </c>
      <c r="K140">
        <v>1127.83</v>
      </c>
      <c r="L140" t="s">
        <v>67</v>
      </c>
    </row>
    <row r="141" spans="1:12" x14ac:dyDescent="0.3">
      <c r="A141" t="s">
        <v>317</v>
      </c>
      <c r="B141" t="s">
        <v>318</v>
      </c>
      <c r="C141" t="s">
        <v>14</v>
      </c>
      <c r="D141" t="s">
        <v>23</v>
      </c>
      <c r="E141" t="s">
        <v>24</v>
      </c>
      <c r="F141" t="s">
        <v>17</v>
      </c>
      <c r="G141" t="s">
        <v>18</v>
      </c>
      <c r="H141">
        <v>8</v>
      </c>
      <c r="I141">
        <v>420</v>
      </c>
      <c r="J141">
        <v>0.1</v>
      </c>
      <c r="K141">
        <v>1936.83</v>
      </c>
      <c r="L141" t="s">
        <v>27</v>
      </c>
    </row>
    <row r="142" spans="1:12" x14ac:dyDescent="0.3">
      <c r="A142" t="s">
        <v>319</v>
      </c>
      <c r="B142" t="s">
        <v>235</v>
      </c>
      <c r="C142" t="s">
        <v>37</v>
      </c>
      <c r="D142" t="s">
        <v>23</v>
      </c>
      <c r="E142" t="s">
        <v>47</v>
      </c>
      <c r="F142" t="s">
        <v>25</v>
      </c>
      <c r="G142" t="s">
        <v>250</v>
      </c>
      <c r="H142">
        <v>5</v>
      </c>
      <c r="I142">
        <v>299</v>
      </c>
      <c r="J142">
        <v>0.1</v>
      </c>
      <c r="K142">
        <v>921.63</v>
      </c>
      <c r="L142" t="s">
        <v>34</v>
      </c>
    </row>
    <row r="143" spans="1:12" x14ac:dyDescent="0.3">
      <c r="A143" t="s">
        <v>320</v>
      </c>
      <c r="B143" t="s">
        <v>321</v>
      </c>
      <c r="C143" t="s">
        <v>76</v>
      </c>
      <c r="D143" t="s">
        <v>15</v>
      </c>
      <c r="E143" t="s">
        <v>47</v>
      </c>
      <c r="F143" t="s">
        <v>39</v>
      </c>
      <c r="G143" t="s">
        <v>106</v>
      </c>
      <c r="H143">
        <v>6</v>
      </c>
      <c r="I143">
        <v>999</v>
      </c>
      <c r="J143">
        <v>0.05</v>
      </c>
      <c r="K143">
        <v>3721.56</v>
      </c>
      <c r="L143" t="s">
        <v>34</v>
      </c>
    </row>
    <row r="144" spans="1:12" x14ac:dyDescent="0.3">
      <c r="A144" t="s">
        <v>322</v>
      </c>
      <c r="B144" t="s">
        <v>323</v>
      </c>
      <c r="C144" t="s">
        <v>30</v>
      </c>
      <c r="D144" t="s">
        <v>15</v>
      </c>
      <c r="E144" t="s">
        <v>47</v>
      </c>
      <c r="F144" t="s">
        <v>324</v>
      </c>
      <c r="G144" t="s">
        <v>48</v>
      </c>
      <c r="H144">
        <v>3</v>
      </c>
      <c r="I144">
        <v>799</v>
      </c>
      <c r="J144">
        <v>0.15</v>
      </c>
      <c r="K144">
        <v>1651.98</v>
      </c>
      <c r="L144" t="s">
        <v>19</v>
      </c>
    </row>
    <row r="145" spans="1:12" x14ac:dyDescent="0.3">
      <c r="A145" t="s">
        <v>325</v>
      </c>
      <c r="B145" t="s">
        <v>326</v>
      </c>
      <c r="C145" t="s">
        <v>73</v>
      </c>
      <c r="D145" t="s">
        <v>23</v>
      </c>
      <c r="E145" t="s">
        <v>16</v>
      </c>
      <c r="F145" t="s">
        <v>17</v>
      </c>
      <c r="G145" t="s">
        <v>18</v>
      </c>
      <c r="H145">
        <v>8</v>
      </c>
      <c r="I145">
        <v>420</v>
      </c>
      <c r="J145">
        <v>0</v>
      </c>
      <c r="K145">
        <v>2320.67</v>
      </c>
      <c r="L145" t="s">
        <v>44</v>
      </c>
    </row>
    <row r="146" spans="1:12" x14ac:dyDescent="0.3">
      <c r="A146" t="s">
        <v>327</v>
      </c>
      <c r="B146" t="s">
        <v>328</v>
      </c>
      <c r="C146" t="s">
        <v>22</v>
      </c>
      <c r="D146" t="s">
        <v>15</v>
      </c>
      <c r="E146" t="s">
        <v>38</v>
      </c>
      <c r="F146" t="s">
        <v>25</v>
      </c>
      <c r="G146" t="s">
        <v>56</v>
      </c>
      <c r="H146">
        <v>8</v>
      </c>
      <c r="I146">
        <v>1499</v>
      </c>
      <c r="J146">
        <v>0.15</v>
      </c>
      <c r="K146">
        <v>6730.9</v>
      </c>
      <c r="L146" t="s">
        <v>44</v>
      </c>
    </row>
    <row r="147" spans="1:12" x14ac:dyDescent="0.3">
      <c r="A147" t="s">
        <v>329</v>
      </c>
      <c r="B147" t="s">
        <v>105</v>
      </c>
      <c r="C147" t="s">
        <v>14</v>
      </c>
      <c r="D147" t="s">
        <v>15</v>
      </c>
      <c r="E147" t="s">
        <v>47</v>
      </c>
      <c r="F147" t="s">
        <v>32</v>
      </c>
      <c r="G147" t="s">
        <v>97</v>
      </c>
      <c r="H147">
        <v>1</v>
      </c>
      <c r="I147">
        <v>899</v>
      </c>
      <c r="J147">
        <v>0.15</v>
      </c>
      <c r="K147">
        <v>739.62</v>
      </c>
      <c r="L147" t="s">
        <v>19</v>
      </c>
    </row>
    <row r="148" spans="1:12" x14ac:dyDescent="0.3">
      <c r="A148" t="s">
        <v>330</v>
      </c>
      <c r="B148" t="s">
        <v>186</v>
      </c>
      <c r="C148" t="s">
        <v>30</v>
      </c>
      <c r="D148" t="s">
        <v>23</v>
      </c>
      <c r="E148" t="s">
        <v>47</v>
      </c>
      <c r="F148" t="s">
        <v>32</v>
      </c>
      <c r="G148" t="s">
        <v>33</v>
      </c>
      <c r="H148">
        <v>3</v>
      </c>
      <c r="I148">
        <v>1499</v>
      </c>
      <c r="J148">
        <v>0</v>
      </c>
      <c r="K148">
        <v>3081.15</v>
      </c>
      <c r="L148" t="s">
        <v>44</v>
      </c>
    </row>
    <row r="149" spans="1:12" x14ac:dyDescent="0.3">
      <c r="A149" t="s">
        <v>331</v>
      </c>
      <c r="B149" t="s">
        <v>192</v>
      </c>
      <c r="C149" t="s">
        <v>76</v>
      </c>
      <c r="D149" t="s">
        <v>15</v>
      </c>
      <c r="E149" t="s">
        <v>24</v>
      </c>
      <c r="F149" t="s">
        <v>39</v>
      </c>
      <c r="G149" t="s">
        <v>66</v>
      </c>
      <c r="H149">
        <v>8</v>
      </c>
      <c r="I149">
        <v>1199</v>
      </c>
      <c r="J149">
        <v>0.2</v>
      </c>
      <c r="K149">
        <v>6779.86</v>
      </c>
      <c r="L149" t="s">
        <v>34</v>
      </c>
    </row>
    <row r="150" spans="1:12" x14ac:dyDescent="0.3">
      <c r="A150" t="s">
        <v>332</v>
      </c>
      <c r="B150" t="s">
        <v>333</v>
      </c>
      <c r="C150" t="s">
        <v>43</v>
      </c>
      <c r="D150" t="s">
        <v>23</v>
      </c>
      <c r="E150" t="s">
        <v>59</v>
      </c>
      <c r="F150" t="s">
        <v>32</v>
      </c>
      <c r="G150" t="s">
        <v>51</v>
      </c>
      <c r="H150">
        <v>1</v>
      </c>
      <c r="I150">
        <v>699</v>
      </c>
      <c r="J150">
        <v>0.1</v>
      </c>
      <c r="K150">
        <v>398.27</v>
      </c>
      <c r="L150" t="s">
        <v>27</v>
      </c>
    </row>
    <row r="151" spans="1:12" x14ac:dyDescent="0.3">
      <c r="A151" t="s">
        <v>334</v>
      </c>
      <c r="B151" t="s">
        <v>335</v>
      </c>
      <c r="C151" t="s">
        <v>37</v>
      </c>
      <c r="D151" t="s">
        <v>23</v>
      </c>
      <c r="E151" t="s">
        <v>38</v>
      </c>
      <c r="F151" t="s">
        <v>39</v>
      </c>
      <c r="G151" t="s">
        <v>106</v>
      </c>
      <c r="H151">
        <v>2</v>
      </c>
      <c r="I151">
        <v>999</v>
      </c>
      <c r="J151">
        <v>0.2</v>
      </c>
      <c r="K151">
        <v>1496.67</v>
      </c>
      <c r="L151" t="s">
        <v>44</v>
      </c>
    </row>
    <row r="152" spans="1:12" x14ac:dyDescent="0.3">
      <c r="A152" t="s">
        <v>336</v>
      </c>
      <c r="B152" t="s">
        <v>337</v>
      </c>
      <c r="C152" t="s">
        <v>37</v>
      </c>
      <c r="D152" t="s">
        <v>15</v>
      </c>
      <c r="E152" t="s">
        <v>47</v>
      </c>
      <c r="F152" t="s">
        <v>25</v>
      </c>
      <c r="G152" t="s">
        <v>56</v>
      </c>
      <c r="H152">
        <v>7</v>
      </c>
      <c r="I152">
        <v>1499</v>
      </c>
      <c r="J152">
        <v>0.1</v>
      </c>
      <c r="K152">
        <v>8330.9699999999993</v>
      </c>
      <c r="L152" t="s">
        <v>19</v>
      </c>
    </row>
    <row r="153" spans="1:12" x14ac:dyDescent="0.3">
      <c r="A153" t="s">
        <v>338</v>
      </c>
      <c r="B153" t="s">
        <v>339</v>
      </c>
      <c r="C153" t="s">
        <v>37</v>
      </c>
      <c r="D153" t="s">
        <v>23</v>
      </c>
      <c r="E153" t="s">
        <v>24</v>
      </c>
      <c r="F153" t="s">
        <v>17</v>
      </c>
      <c r="G153" t="s">
        <v>113</v>
      </c>
      <c r="H153">
        <v>3</v>
      </c>
      <c r="I153">
        <v>180</v>
      </c>
      <c r="J153">
        <v>0.05</v>
      </c>
      <c r="K153">
        <v>352.36</v>
      </c>
      <c r="L153" t="s">
        <v>67</v>
      </c>
    </row>
    <row r="154" spans="1:12" x14ac:dyDescent="0.3">
      <c r="A154" t="s">
        <v>340</v>
      </c>
      <c r="B154" t="s">
        <v>341</v>
      </c>
      <c r="C154" t="s">
        <v>30</v>
      </c>
      <c r="D154" t="s">
        <v>15</v>
      </c>
      <c r="E154" t="s">
        <v>31</v>
      </c>
      <c r="F154" t="s">
        <v>25</v>
      </c>
      <c r="G154" t="s">
        <v>56</v>
      </c>
      <c r="H154">
        <v>2</v>
      </c>
      <c r="I154">
        <v>1499</v>
      </c>
      <c r="J154">
        <v>0.2</v>
      </c>
      <c r="K154">
        <v>2342.2199999999998</v>
      </c>
      <c r="L154" t="s">
        <v>19</v>
      </c>
    </row>
    <row r="155" spans="1:12" x14ac:dyDescent="0.3">
      <c r="A155" t="s">
        <v>342</v>
      </c>
      <c r="B155" t="s">
        <v>139</v>
      </c>
      <c r="C155" t="s">
        <v>43</v>
      </c>
      <c r="D155" t="s">
        <v>15</v>
      </c>
      <c r="E155" t="s">
        <v>47</v>
      </c>
      <c r="F155" t="s">
        <v>32</v>
      </c>
      <c r="G155" t="s">
        <v>60</v>
      </c>
      <c r="H155">
        <v>3</v>
      </c>
      <c r="I155">
        <v>1299</v>
      </c>
      <c r="J155">
        <v>0.05</v>
      </c>
      <c r="K155">
        <v>3115.28</v>
      </c>
      <c r="L155" t="s">
        <v>19</v>
      </c>
    </row>
    <row r="156" spans="1:12" x14ac:dyDescent="0.3">
      <c r="A156" t="s">
        <v>343</v>
      </c>
      <c r="B156" t="s">
        <v>267</v>
      </c>
      <c r="C156" t="s">
        <v>73</v>
      </c>
      <c r="D156" t="s">
        <v>15</v>
      </c>
      <c r="E156" t="s">
        <v>59</v>
      </c>
      <c r="F156" t="s">
        <v>17</v>
      </c>
      <c r="G156" t="s">
        <v>18</v>
      </c>
      <c r="H156">
        <v>8</v>
      </c>
      <c r="I156">
        <v>420</v>
      </c>
      <c r="J156">
        <v>0.2</v>
      </c>
      <c r="K156">
        <v>2135.21</v>
      </c>
      <c r="L156" t="s">
        <v>67</v>
      </c>
    </row>
    <row r="157" spans="1:12" x14ac:dyDescent="0.3">
      <c r="A157" t="s">
        <v>344</v>
      </c>
      <c r="B157" t="s">
        <v>50</v>
      </c>
      <c r="C157" t="s">
        <v>76</v>
      </c>
      <c r="D157" t="s">
        <v>15</v>
      </c>
      <c r="E157" t="s">
        <v>38</v>
      </c>
      <c r="F157" t="s">
        <v>32</v>
      </c>
      <c r="G157" t="s">
        <v>60</v>
      </c>
      <c r="H157">
        <v>6</v>
      </c>
      <c r="I157">
        <v>1299</v>
      </c>
      <c r="J157">
        <v>0.2</v>
      </c>
      <c r="K157">
        <v>6588.52</v>
      </c>
      <c r="L157" t="s">
        <v>67</v>
      </c>
    </row>
    <row r="158" spans="1:12" x14ac:dyDescent="0.3">
      <c r="A158" t="s">
        <v>345</v>
      </c>
      <c r="B158" t="s">
        <v>346</v>
      </c>
      <c r="C158" t="s">
        <v>37</v>
      </c>
      <c r="D158" t="s">
        <v>23</v>
      </c>
      <c r="E158" t="s">
        <v>31</v>
      </c>
      <c r="F158" t="s">
        <v>39</v>
      </c>
      <c r="G158" t="s">
        <v>210</v>
      </c>
      <c r="H158">
        <v>3</v>
      </c>
      <c r="I158">
        <v>1999</v>
      </c>
      <c r="J158">
        <v>0.1</v>
      </c>
      <c r="K158">
        <v>3392.23</v>
      </c>
      <c r="L158" t="s">
        <v>67</v>
      </c>
    </row>
    <row r="159" spans="1:12" x14ac:dyDescent="0.3">
      <c r="A159" t="s">
        <v>347</v>
      </c>
      <c r="B159" t="s">
        <v>348</v>
      </c>
      <c r="C159" t="s">
        <v>76</v>
      </c>
      <c r="D159" t="s">
        <v>15</v>
      </c>
      <c r="E159" t="s">
        <v>16</v>
      </c>
      <c r="F159" t="s">
        <v>25</v>
      </c>
      <c r="G159" t="s">
        <v>56</v>
      </c>
      <c r="H159">
        <v>2</v>
      </c>
      <c r="I159">
        <v>1499</v>
      </c>
      <c r="J159">
        <v>0.05</v>
      </c>
      <c r="K159">
        <v>1894.25</v>
      </c>
      <c r="L159" t="s">
        <v>19</v>
      </c>
    </row>
    <row r="160" spans="1:12" x14ac:dyDescent="0.3">
      <c r="A160" t="s">
        <v>349</v>
      </c>
      <c r="B160" t="s">
        <v>151</v>
      </c>
      <c r="C160" t="s">
        <v>37</v>
      </c>
      <c r="D160" t="s">
        <v>15</v>
      </c>
      <c r="E160" t="s">
        <v>31</v>
      </c>
      <c r="F160" t="s">
        <v>32</v>
      </c>
      <c r="G160" t="s">
        <v>51</v>
      </c>
      <c r="H160">
        <v>1</v>
      </c>
      <c r="I160">
        <v>699</v>
      </c>
      <c r="J160">
        <v>0.15</v>
      </c>
      <c r="K160">
        <v>395.62</v>
      </c>
      <c r="L160" t="s">
        <v>19</v>
      </c>
    </row>
    <row r="161" spans="1:12" x14ac:dyDescent="0.3">
      <c r="A161" t="s">
        <v>350</v>
      </c>
      <c r="B161" t="s">
        <v>351</v>
      </c>
      <c r="C161" t="s">
        <v>30</v>
      </c>
      <c r="D161" t="s">
        <v>23</v>
      </c>
      <c r="E161" t="s">
        <v>24</v>
      </c>
      <c r="F161" t="s">
        <v>17</v>
      </c>
      <c r="G161" t="s">
        <v>18</v>
      </c>
      <c r="H161">
        <v>1</v>
      </c>
      <c r="I161">
        <v>420</v>
      </c>
      <c r="J161">
        <v>0.1</v>
      </c>
      <c r="K161">
        <v>348.28</v>
      </c>
      <c r="L161" t="s">
        <v>44</v>
      </c>
    </row>
    <row r="162" spans="1:12" x14ac:dyDescent="0.3">
      <c r="A162" t="s">
        <v>352</v>
      </c>
      <c r="B162" t="s">
        <v>353</v>
      </c>
      <c r="C162" t="s">
        <v>82</v>
      </c>
      <c r="D162" t="s">
        <v>15</v>
      </c>
      <c r="E162" t="s">
        <v>38</v>
      </c>
      <c r="F162" t="s">
        <v>32</v>
      </c>
      <c r="G162" t="s">
        <v>60</v>
      </c>
      <c r="H162">
        <v>8</v>
      </c>
      <c r="I162">
        <v>1299</v>
      </c>
      <c r="J162">
        <v>0.15</v>
      </c>
      <c r="K162">
        <v>7634.01</v>
      </c>
      <c r="L162" t="s">
        <v>27</v>
      </c>
    </row>
    <row r="163" spans="1:12" x14ac:dyDescent="0.3">
      <c r="A163" t="s">
        <v>354</v>
      </c>
      <c r="B163" t="s">
        <v>355</v>
      </c>
      <c r="C163" t="s">
        <v>63</v>
      </c>
      <c r="D163" t="s">
        <v>15</v>
      </c>
      <c r="E163" t="s">
        <v>31</v>
      </c>
      <c r="F163" t="s">
        <v>32</v>
      </c>
      <c r="G163" t="s">
        <v>103</v>
      </c>
      <c r="H163">
        <v>5</v>
      </c>
      <c r="I163">
        <v>499</v>
      </c>
      <c r="J163">
        <v>0.05</v>
      </c>
      <c r="K163">
        <v>1597.66</v>
      </c>
      <c r="L163" t="s">
        <v>27</v>
      </c>
    </row>
    <row r="164" spans="1:12" x14ac:dyDescent="0.3">
      <c r="A164" t="s">
        <v>356</v>
      </c>
      <c r="B164" t="s">
        <v>231</v>
      </c>
      <c r="C164" t="s">
        <v>37</v>
      </c>
      <c r="D164" t="s">
        <v>23</v>
      </c>
      <c r="E164" t="s">
        <v>24</v>
      </c>
      <c r="F164" t="s">
        <v>25</v>
      </c>
      <c r="G164" t="s">
        <v>250</v>
      </c>
      <c r="H164">
        <v>1</v>
      </c>
      <c r="I164">
        <v>299</v>
      </c>
      <c r="J164">
        <v>0.2</v>
      </c>
      <c r="K164">
        <v>216.03</v>
      </c>
      <c r="L164" t="s">
        <v>34</v>
      </c>
    </row>
    <row r="165" spans="1:12" x14ac:dyDescent="0.3">
      <c r="A165" t="s">
        <v>357</v>
      </c>
      <c r="B165" t="s">
        <v>358</v>
      </c>
      <c r="C165" t="s">
        <v>37</v>
      </c>
      <c r="D165" t="s">
        <v>15</v>
      </c>
      <c r="E165" t="s">
        <v>47</v>
      </c>
      <c r="F165" t="s">
        <v>17</v>
      </c>
      <c r="G165" t="s">
        <v>18</v>
      </c>
      <c r="H165">
        <v>7</v>
      </c>
      <c r="I165">
        <v>420</v>
      </c>
      <c r="J165">
        <v>0.05</v>
      </c>
      <c r="K165">
        <v>2202.98</v>
      </c>
      <c r="L165" t="s">
        <v>27</v>
      </c>
    </row>
    <row r="166" spans="1:12" x14ac:dyDescent="0.3">
      <c r="A166" t="s">
        <v>359</v>
      </c>
      <c r="B166" t="s">
        <v>360</v>
      </c>
      <c r="C166" t="s">
        <v>43</v>
      </c>
      <c r="D166" t="s">
        <v>15</v>
      </c>
      <c r="E166" t="s">
        <v>47</v>
      </c>
      <c r="F166" t="s">
        <v>25</v>
      </c>
      <c r="G166" t="s">
        <v>250</v>
      </c>
      <c r="H166">
        <v>8</v>
      </c>
      <c r="I166">
        <v>299</v>
      </c>
      <c r="J166">
        <v>0</v>
      </c>
      <c r="K166">
        <v>1771.76</v>
      </c>
      <c r="L166" t="s">
        <v>44</v>
      </c>
    </row>
    <row r="167" spans="1:12" x14ac:dyDescent="0.3">
      <c r="A167" t="s">
        <v>361</v>
      </c>
      <c r="B167" t="s">
        <v>362</v>
      </c>
      <c r="C167" t="s">
        <v>92</v>
      </c>
      <c r="D167" t="s">
        <v>23</v>
      </c>
      <c r="E167" t="s">
        <v>24</v>
      </c>
      <c r="F167" t="s">
        <v>17</v>
      </c>
      <c r="G167" t="s">
        <v>18</v>
      </c>
      <c r="H167">
        <v>2</v>
      </c>
      <c r="I167">
        <v>420</v>
      </c>
      <c r="J167">
        <v>0.2</v>
      </c>
      <c r="K167">
        <v>647.27</v>
      </c>
      <c r="L167" t="s">
        <v>44</v>
      </c>
    </row>
    <row r="168" spans="1:12" x14ac:dyDescent="0.3">
      <c r="A168" t="s">
        <v>363</v>
      </c>
      <c r="B168" t="s">
        <v>122</v>
      </c>
      <c r="C168" t="s">
        <v>92</v>
      </c>
      <c r="D168" t="s">
        <v>23</v>
      </c>
      <c r="E168" t="s">
        <v>47</v>
      </c>
      <c r="F168" t="s">
        <v>17</v>
      </c>
      <c r="G168" t="s">
        <v>18</v>
      </c>
      <c r="H168">
        <v>8</v>
      </c>
      <c r="I168">
        <v>420</v>
      </c>
      <c r="J168">
        <v>0.15</v>
      </c>
      <c r="K168">
        <v>2484.79</v>
      </c>
      <c r="L168" t="s">
        <v>34</v>
      </c>
    </row>
    <row r="169" spans="1:12" x14ac:dyDescent="0.3">
      <c r="A169" t="s">
        <v>364</v>
      </c>
      <c r="B169" t="s">
        <v>365</v>
      </c>
      <c r="C169" t="s">
        <v>73</v>
      </c>
      <c r="D169" t="s">
        <v>15</v>
      </c>
      <c r="E169" t="s">
        <v>38</v>
      </c>
      <c r="F169" t="s">
        <v>39</v>
      </c>
      <c r="G169" t="s">
        <v>48</v>
      </c>
      <c r="H169">
        <v>4</v>
      </c>
      <c r="I169">
        <v>799</v>
      </c>
      <c r="J169">
        <v>0</v>
      </c>
      <c r="K169">
        <v>2060.39</v>
      </c>
      <c r="L169" t="s">
        <v>44</v>
      </c>
    </row>
    <row r="170" spans="1:12" x14ac:dyDescent="0.3">
      <c r="A170" t="s">
        <v>366</v>
      </c>
      <c r="B170" t="s">
        <v>227</v>
      </c>
      <c r="C170" t="s">
        <v>37</v>
      </c>
      <c r="D170" t="s">
        <v>23</v>
      </c>
      <c r="E170" t="s">
        <v>38</v>
      </c>
      <c r="F170" t="s">
        <v>25</v>
      </c>
      <c r="G170" t="s">
        <v>79</v>
      </c>
      <c r="H170">
        <v>5</v>
      </c>
      <c r="I170">
        <v>899</v>
      </c>
      <c r="J170">
        <v>0.1</v>
      </c>
      <c r="K170">
        <v>3634.84</v>
      </c>
      <c r="L170" t="s">
        <v>27</v>
      </c>
    </row>
    <row r="171" spans="1:12" x14ac:dyDescent="0.3">
      <c r="A171" t="s">
        <v>367</v>
      </c>
      <c r="B171" t="s">
        <v>245</v>
      </c>
      <c r="C171" t="s">
        <v>43</v>
      </c>
      <c r="D171" t="s">
        <v>23</v>
      </c>
      <c r="E171" t="s">
        <v>24</v>
      </c>
      <c r="F171" t="s">
        <v>17</v>
      </c>
      <c r="G171" t="s">
        <v>86</v>
      </c>
      <c r="H171">
        <v>7</v>
      </c>
      <c r="I171">
        <v>55</v>
      </c>
      <c r="J171">
        <v>0.15</v>
      </c>
      <c r="K171">
        <v>315.08</v>
      </c>
      <c r="L171" t="s">
        <v>67</v>
      </c>
    </row>
    <row r="172" spans="1:12" x14ac:dyDescent="0.3">
      <c r="A172" t="s">
        <v>368</v>
      </c>
      <c r="B172" t="s">
        <v>302</v>
      </c>
      <c r="C172" t="s">
        <v>82</v>
      </c>
      <c r="D172" t="s">
        <v>23</v>
      </c>
      <c r="E172" t="s">
        <v>16</v>
      </c>
      <c r="F172" t="s">
        <v>32</v>
      </c>
      <c r="G172" t="s">
        <v>51</v>
      </c>
      <c r="H172">
        <v>5</v>
      </c>
      <c r="I172">
        <v>699</v>
      </c>
      <c r="J172">
        <v>0</v>
      </c>
      <c r="K172">
        <v>2684.59</v>
      </c>
      <c r="L172" t="s">
        <v>27</v>
      </c>
    </row>
    <row r="173" spans="1:12" x14ac:dyDescent="0.3">
      <c r="A173" t="s">
        <v>369</v>
      </c>
      <c r="B173" t="s">
        <v>314</v>
      </c>
      <c r="C173" t="s">
        <v>22</v>
      </c>
      <c r="D173" t="s">
        <v>15</v>
      </c>
      <c r="E173" t="s">
        <v>47</v>
      </c>
      <c r="F173" t="s">
        <v>17</v>
      </c>
      <c r="G173" t="s">
        <v>113</v>
      </c>
      <c r="H173">
        <v>2</v>
      </c>
      <c r="I173">
        <v>180</v>
      </c>
      <c r="J173">
        <v>0</v>
      </c>
      <c r="K173">
        <v>233.42</v>
      </c>
      <c r="L173" t="s">
        <v>44</v>
      </c>
    </row>
    <row r="174" spans="1:12" x14ac:dyDescent="0.3">
      <c r="A174" t="s">
        <v>370</v>
      </c>
      <c r="B174" t="s">
        <v>371</v>
      </c>
      <c r="C174" t="s">
        <v>73</v>
      </c>
      <c r="D174" t="s">
        <v>23</v>
      </c>
      <c r="E174" t="s">
        <v>31</v>
      </c>
      <c r="F174" t="s">
        <v>32</v>
      </c>
      <c r="G174" t="s">
        <v>51</v>
      </c>
      <c r="H174">
        <v>8</v>
      </c>
      <c r="I174">
        <v>699</v>
      </c>
      <c r="J174">
        <v>0</v>
      </c>
      <c r="K174">
        <v>4294.8999999999996</v>
      </c>
      <c r="L174" t="s">
        <v>44</v>
      </c>
    </row>
    <row r="175" spans="1:12" x14ac:dyDescent="0.3">
      <c r="A175" t="s">
        <v>372</v>
      </c>
      <c r="B175" t="s">
        <v>300</v>
      </c>
      <c r="C175" t="s">
        <v>37</v>
      </c>
      <c r="D175" t="s">
        <v>23</v>
      </c>
      <c r="E175" t="s">
        <v>16</v>
      </c>
      <c r="F175" t="s">
        <v>25</v>
      </c>
      <c r="G175" t="s">
        <v>26</v>
      </c>
      <c r="H175">
        <v>7</v>
      </c>
      <c r="I175">
        <v>599</v>
      </c>
      <c r="J175">
        <v>0.1</v>
      </c>
      <c r="K175">
        <v>2951.56</v>
      </c>
      <c r="L175" t="s">
        <v>34</v>
      </c>
    </row>
    <row r="176" spans="1:12" x14ac:dyDescent="0.3">
      <c r="A176" t="s">
        <v>373</v>
      </c>
      <c r="B176" t="s">
        <v>374</v>
      </c>
      <c r="C176" t="s">
        <v>82</v>
      </c>
      <c r="D176" t="s">
        <v>23</v>
      </c>
      <c r="E176" t="s">
        <v>24</v>
      </c>
      <c r="F176" t="s">
        <v>39</v>
      </c>
      <c r="G176" t="s">
        <v>48</v>
      </c>
      <c r="H176">
        <v>4</v>
      </c>
      <c r="I176">
        <v>799</v>
      </c>
      <c r="J176">
        <v>0.1</v>
      </c>
      <c r="K176">
        <v>2105.0300000000002</v>
      </c>
      <c r="L176" t="s">
        <v>19</v>
      </c>
    </row>
    <row r="177" spans="1:12" x14ac:dyDescent="0.3">
      <c r="A177" t="s">
        <v>375</v>
      </c>
      <c r="B177" t="s">
        <v>376</v>
      </c>
      <c r="C177" t="s">
        <v>22</v>
      </c>
      <c r="D177" t="s">
        <v>15</v>
      </c>
      <c r="E177" t="s">
        <v>16</v>
      </c>
      <c r="F177" t="s">
        <v>32</v>
      </c>
      <c r="G177" t="s">
        <v>51</v>
      </c>
      <c r="H177">
        <v>6</v>
      </c>
      <c r="I177">
        <v>699</v>
      </c>
      <c r="J177">
        <v>0.15</v>
      </c>
      <c r="K177">
        <v>3266.81</v>
      </c>
      <c r="L177" t="s">
        <v>19</v>
      </c>
    </row>
    <row r="178" spans="1:12" x14ac:dyDescent="0.3">
      <c r="A178" t="s">
        <v>377</v>
      </c>
      <c r="B178" t="s">
        <v>378</v>
      </c>
      <c r="C178" t="s">
        <v>76</v>
      </c>
      <c r="D178" t="s">
        <v>23</v>
      </c>
      <c r="E178" t="s">
        <v>59</v>
      </c>
      <c r="F178" t="s">
        <v>17</v>
      </c>
      <c r="G178" t="s">
        <v>113</v>
      </c>
      <c r="H178">
        <v>4</v>
      </c>
      <c r="I178">
        <v>180</v>
      </c>
      <c r="J178">
        <v>0</v>
      </c>
      <c r="K178">
        <v>401.6</v>
      </c>
      <c r="L178" t="s">
        <v>34</v>
      </c>
    </row>
    <row r="179" spans="1:12" x14ac:dyDescent="0.3">
      <c r="A179" t="s">
        <v>379</v>
      </c>
      <c r="B179" t="s">
        <v>380</v>
      </c>
      <c r="C179" t="s">
        <v>76</v>
      </c>
      <c r="D179" t="s">
        <v>23</v>
      </c>
      <c r="E179" t="s">
        <v>47</v>
      </c>
      <c r="F179" t="s">
        <v>25</v>
      </c>
      <c r="G179" t="s">
        <v>56</v>
      </c>
      <c r="H179">
        <v>5</v>
      </c>
      <c r="I179">
        <v>1499</v>
      </c>
      <c r="J179">
        <v>0.15</v>
      </c>
      <c r="K179">
        <v>4604.71</v>
      </c>
      <c r="L179" t="s">
        <v>19</v>
      </c>
    </row>
    <row r="180" spans="1:12" x14ac:dyDescent="0.3">
      <c r="A180" t="s">
        <v>381</v>
      </c>
      <c r="B180" t="s">
        <v>105</v>
      </c>
      <c r="C180" t="s">
        <v>73</v>
      </c>
      <c r="D180" t="s">
        <v>15</v>
      </c>
      <c r="E180" t="s">
        <v>24</v>
      </c>
      <c r="F180" t="s">
        <v>39</v>
      </c>
      <c r="G180" t="s">
        <v>48</v>
      </c>
      <c r="H180">
        <v>8</v>
      </c>
      <c r="I180">
        <v>799</v>
      </c>
      <c r="J180">
        <v>0.05</v>
      </c>
      <c r="K180">
        <v>5238.91</v>
      </c>
      <c r="L180" t="s">
        <v>67</v>
      </c>
    </row>
    <row r="181" spans="1:12" x14ac:dyDescent="0.3">
      <c r="A181" t="s">
        <v>382</v>
      </c>
      <c r="B181" t="s">
        <v>21</v>
      </c>
      <c r="C181" t="s">
        <v>43</v>
      </c>
      <c r="D181" t="s">
        <v>23</v>
      </c>
      <c r="E181" t="s">
        <v>16</v>
      </c>
      <c r="F181" t="s">
        <v>25</v>
      </c>
      <c r="G181" t="s">
        <v>70</v>
      </c>
      <c r="H181">
        <v>5</v>
      </c>
      <c r="I181">
        <v>1299</v>
      </c>
      <c r="J181">
        <v>0.1</v>
      </c>
      <c r="K181">
        <v>5231.13</v>
      </c>
      <c r="L181" t="s">
        <v>34</v>
      </c>
    </row>
    <row r="182" spans="1:12" x14ac:dyDescent="0.3">
      <c r="A182" t="s">
        <v>383</v>
      </c>
      <c r="B182" t="s">
        <v>384</v>
      </c>
      <c r="C182" t="s">
        <v>76</v>
      </c>
      <c r="D182" t="s">
        <v>15</v>
      </c>
      <c r="E182" t="s">
        <v>24</v>
      </c>
      <c r="F182" t="s">
        <v>39</v>
      </c>
      <c r="G182" t="s">
        <v>40</v>
      </c>
      <c r="H182">
        <v>4</v>
      </c>
      <c r="I182">
        <v>1599</v>
      </c>
      <c r="J182">
        <v>0.15</v>
      </c>
      <c r="K182">
        <v>3568.23</v>
      </c>
      <c r="L182" t="s">
        <v>19</v>
      </c>
    </row>
    <row r="183" spans="1:12" x14ac:dyDescent="0.3">
      <c r="A183" t="s">
        <v>385</v>
      </c>
      <c r="B183" t="s">
        <v>386</v>
      </c>
      <c r="C183" t="s">
        <v>43</v>
      </c>
      <c r="D183" t="s">
        <v>23</v>
      </c>
      <c r="E183" t="s">
        <v>47</v>
      </c>
      <c r="F183" t="s">
        <v>39</v>
      </c>
      <c r="G183" t="s">
        <v>210</v>
      </c>
      <c r="H183">
        <v>2</v>
      </c>
      <c r="I183">
        <v>1999</v>
      </c>
      <c r="J183">
        <v>0</v>
      </c>
      <c r="K183">
        <v>2569.86</v>
      </c>
      <c r="L183" t="s">
        <v>67</v>
      </c>
    </row>
    <row r="184" spans="1:12" x14ac:dyDescent="0.3">
      <c r="A184" t="s">
        <v>387</v>
      </c>
      <c r="B184" t="s">
        <v>388</v>
      </c>
      <c r="C184" t="s">
        <v>37</v>
      </c>
      <c r="D184" t="s">
        <v>23</v>
      </c>
      <c r="E184" t="s">
        <v>47</v>
      </c>
      <c r="F184" t="s">
        <v>25</v>
      </c>
      <c r="G184" t="s">
        <v>79</v>
      </c>
      <c r="H184">
        <v>6</v>
      </c>
      <c r="I184">
        <v>899</v>
      </c>
      <c r="J184">
        <v>0</v>
      </c>
      <c r="K184">
        <v>3694.85</v>
      </c>
      <c r="L184" t="s">
        <v>19</v>
      </c>
    </row>
    <row r="185" spans="1:12" x14ac:dyDescent="0.3">
      <c r="A185" t="s">
        <v>389</v>
      </c>
      <c r="B185" t="s">
        <v>239</v>
      </c>
      <c r="C185" t="s">
        <v>82</v>
      </c>
      <c r="D185" t="s">
        <v>15</v>
      </c>
      <c r="E185" t="s">
        <v>31</v>
      </c>
      <c r="F185" t="s">
        <v>32</v>
      </c>
      <c r="G185" t="s">
        <v>33</v>
      </c>
      <c r="H185">
        <v>1</v>
      </c>
      <c r="I185">
        <v>1499</v>
      </c>
      <c r="J185">
        <v>0</v>
      </c>
      <c r="K185">
        <v>1057.44</v>
      </c>
      <c r="L185" t="s">
        <v>44</v>
      </c>
    </row>
    <row r="186" spans="1:12" x14ac:dyDescent="0.3">
      <c r="A186" t="s">
        <v>390</v>
      </c>
      <c r="B186" t="s">
        <v>267</v>
      </c>
      <c r="C186" t="s">
        <v>82</v>
      </c>
      <c r="D186" t="s">
        <v>23</v>
      </c>
      <c r="E186" t="s">
        <v>16</v>
      </c>
      <c r="F186" t="s">
        <v>39</v>
      </c>
      <c r="G186" t="s">
        <v>106</v>
      </c>
      <c r="H186">
        <v>5</v>
      </c>
      <c r="I186">
        <v>999</v>
      </c>
      <c r="J186">
        <v>0</v>
      </c>
      <c r="K186">
        <v>3122.78</v>
      </c>
      <c r="L186" t="s">
        <v>19</v>
      </c>
    </row>
    <row r="187" spans="1:12" x14ac:dyDescent="0.3">
      <c r="A187" t="s">
        <v>391</v>
      </c>
      <c r="B187" t="s">
        <v>328</v>
      </c>
      <c r="C187" t="s">
        <v>82</v>
      </c>
      <c r="D187" t="s">
        <v>23</v>
      </c>
      <c r="E187" t="s">
        <v>47</v>
      </c>
      <c r="F187" t="s">
        <v>25</v>
      </c>
      <c r="G187" t="s">
        <v>70</v>
      </c>
      <c r="H187">
        <v>3</v>
      </c>
      <c r="I187">
        <v>1299</v>
      </c>
      <c r="J187">
        <v>0.2</v>
      </c>
      <c r="K187">
        <v>3244.18</v>
      </c>
      <c r="L187" t="s">
        <v>34</v>
      </c>
    </row>
    <row r="188" spans="1:12" x14ac:dyDescent="0.3">
      <c r="A188" t="s">
        <v>392</v>
      </c>
      <c r="B188" t="s">
        <v>393</v>
      </c>
      <c r="C188" t="s">
        <v>22</v>
      </c>
      <c r="D188" t="s">
        <v>23</v>
      </c>
      <c r="E188" t="s">
        <v>47</v>
      </c>
      <c r="F188" t="s">
        <v>25</v>
      </c>
      <c r="G188" t="s">
        <v>26</v>
      </c>
      <c r="H188">
        <v>2</v>
      </c>
      <c r="I188">
        <v>599</v>
      </c>
      <c r="J188">
        <v>0</v>
      </c>
      <c r="K188">
        <v>999.81</v>
      </c>
      <c r="L188" t="s">
        <v>19</v>
      </c>
    </row>
    <row r="189" spans="1:12" x14ac:dyDescent="0.3">
      <c r="A189" t="s">
        <v>394</v>
      </c>
      <c r="B189" t="s">
        <v>395</v>
      </c>
      <c r="C189" t="s">
        <v>30</v>
      </c>
      <c r="D189" t="s">
        <v>23</v>
      </c>
      <c r="E189" t="s">
        <v>47</v>
      </c>
      <c r="F189" t="s">
        <v>25</v>
      </c>
      <c r="G189" t="s">
        <v>250</v>
      </c>
      <c r="H189">
        <v>5</v>
      </c>
      <c r="I189">
        <v>299</v>
      </c>
      <c r="J189">
        <v>0.1</v>
      </c>
      <c r="K189">
        <v>1038.8499999999999</v>
      </c>
      <c r="L189" t="s">
        <v>67</v>
      </c>
    </row>
    <row r="190" spans="1:12" x14ac:dyDescent="0.3">
      <c r="A190" t="s">
        <v>396</v>
      </c>
      <c r="B190" t="s">
        <v>397</v>
      </c>
      <c r="C190" t="s">
        <v>73</v>
      </c>
      <c r="D190" t="s">
        <v>15</v>
      </c>
      <c r="E190" t="s">
        <v>16</v>
      </c>
      <c r="F190" t="s">
        <v>25</v>
      </c>
      <c r="G190" t="s">
        <v>79</v>
      </c>
      <c r="H190">
        <v>8</v>
      </c>
      <c r="I190">
        <v>899</v>
      </c>
      <c r="J190">
        <v>0.15</v>
      </c>
      <c r="K190">
        <v>5000.42</v>
      </c>
      <c r="L190" t="s">
        <v>34</v>
      </c>
    </row>
    <row r="191" spans="1:12" x14ac:dyDescent="0.3">
      <c r="A191" t="s">
        <v>398</v>
      </c>
      <c r="B191" t="s">
        <v>237</v>
      </c>
      <c r="C191" t="s">
        <v>22</v>
      </c>
      <c r="D191" t="s">
        <v>15</v>
      </c>
      <c r="E191" t="s">
        <v>38</v>
      </c>
      <c r="F191" t="s">
        <v>17</v>
      </c>
      <c r="G191" t="s">
        <v>113</v>
      </c>
      <c r="H191">
        <v>7</v>
      </c>
      <c r="I191">
        <v>180</v>
      </c>
      <c r="J191">
        <v>0.05</v>
      </c>
      <c r="K191">
        <v>980.53</v>
      </c>
      <c r="L191" t="s">
        <v>19</v>
      </c>
    </row>
    <row r="192" spans="1:12" x14ac:dyDescent="0.3">
      <c r="A192" t="s">
        <v>399</v>
      </c>
      <c r="B192" t="s">
        <v>29</v>
      </c>
      <c r="C192" t="s">
        <v>14</v>
      </c>
      <c r="D192" t="s">
        <v>23</v>
      </c>
      <c r="E192" t="s">
        <v>31</v>
      </c>
      <c r="F192" t="s">
        <v>32</v>
      </c>
      <c r="G192" t="s">
        <v>103</v>
      </c>
      <c r="H192">
        <v>5</v>
      </c>
      <c r="I192">
        <v>499</v>
      </c>
      <c r="J192">
        <v>0.15</v>
      </c>
      <c r="K192">
        <v>1557.82</v>
      </c>
      <c r="L192" t="s">
        <v>27</v>
      </c>
    </row>
    <row r="193" spans="1:12" x14ac:dyDescent="0.3">
      <c r="A193" t="s">
        <v>400</v>
      </c>
      <c r="B193" t="s">
        <v>401</v>
      </c>
      <c r="C193" t="s">
        <v>63</v>
      </c>
      <c r="D193" t="s">
        <v>23</v>
      </c>
      <c r="E193" t="s">
        <v>47</v>
      </c>
      <c r="F193" t="s">
        <v>32</v>
      </c>
      <c r="G193" t="s">
        <v>60</v>
      </c>
      <c r="H193">
        <v>3</v>
      </c>
      <c r="I193">
        <v>1299</v>
      </c>
      <c r="J193">
        <v>0.1</v>
      </c>
      <c r="K193">
        <v>3235</v>
      </c>
      <c r="L193" t="s">
        <v>44</v>
      </c>
    </row>
    <row r="194" spans="1:12" x14ac:dyDescent="0.3">
      <c r="A194" t="s">
        <v>402</v>
      </c>
      <c r="B194" t="s">
        <v>403</v>
      </c>
      <c r="C194" t="s">
        <v>82</v>
      </c>
      <c r="D194" t="s">
        <v>23</v>
      </c>
      <c r="E194" t="s">
        <v>47</v>
      </c>
      <c r="F194" t="s">
        <v>32</v>
      </c>
      <c r="G194" t="s">
        <v>97</v>
      </c>
      <c r="H194">
        <v>5</v>
      </c>
      <c r="I194">
        <v>899</v>
      </c>
      <c r="J194">
        <v>0.15</v>
      </c>
      <c r="K194">
        <v>2503.5</v>
      </c>
      <c r="L194" t="s">
        <v>67</v>
      </c>
    </row>
    <row r="195" spans="1:12" x14ac:dyDescent="0.3">
      <c r="A195" t="s">
        <v>404</v>
      </c>
      <c r="B195" t="s">
        <v>405</v>
      </c>
      <c r="C195" t="s">
        <v>73</v>
      </c>
      <c r="D195" t="s">
        <v>15</v>
      </c>
      <c r="E195" t="s">
        <v>31</v>
      </c>
      <c r="F195" t="s">
        <v>17</v>
      </c>
      <c r="G195" t="s">
        <v>89</v>
      </c>
      <c r="H195">
        <v>1</v>
      </c>
      <c r="I195">
        <v>650</v>
      </c>
      <c r="J195">
        <v>0.1</v>
      </c>
      <c r="K195">
        <v>454</v>
      </c>
      <c r="L195" t="s">
        <v>67</v>
      </c>
    </row>
    <row r="196" spans="1:12" x14ac:dyDescent="0.3">
      <c r="A196" t="s">
        <v>406</v>
      </c>
      <c r="B196" t="s">
        <v>105</v>
      </c>
      <c r="C196" t="s">
        <v>76</v>
      </c>
      <c r="D196" t="s">
        <v>15</v>
      </c>
      <c r="E196" t="s">
        <v>24</v>
      </c>
      <c r="F196" t="s">
        <v>32</v>
      </c>
      <c r="G196" t="s">
        <v>60</v>
      </c>
      <c r="H196">
        <v>5</v>
      </c>
      <c r="I196">
        <v>1299</v>
      </c>
      <c r="J196">
        <v>0.1</v>
      </c>
      <c r="K196">
        <v>5060.62</v>
      </c>
      <c r="L196" t="s">
        <v>44</v>
      </c>
    </row>
    <row r="197" spans="1:12" x14ac:dyDescent="0.3">
      <c r="A197" t="s">
        <v>407</v>
      </c>
      <c r="B197" t="s">
        <v>408</v>
      </c>
      <c r="C197" t="s">
        <v>37</v>
      </c>
      <c r="D197" t="s">
        <v>15</v>
      </c>
      <c r="E197" t="s">
        <v>47</v>
      </c>
      <c r="F197" t="s">
        <v>39</v>
      </c>
      <c r="G197" t="s">
        <v>106</v>
      </c>
      <c r="H197">
        <v>5</v>
      </c>
      <c r="I197">
        <v>999</v>
      </c>
      <c r="J197">
        <v>0</v>
      </c>
      <c r="K197">
        <v>3326.19</v>
      </c>
      <c r="L197" t="s">
        <v>67</v>
      </c>
    </row>
    <row r="198" spans="1:12" x14ac:dyDescent="0.3">
      <c r="A198" t="s">
        <v>409</v>
      </c>
      <c r="B198" t="s">
        <v>410</v>
      </c>
      <c r="C198" t="s">
        <v>63</v>
      </c>
      <c r="D198" t="s">
        <v>15</v>
      </c>
      <c r="E198" t="s">
        <v>31</v>
      </c>
      <c r="F198" t="s">
        <v>25</v>
      </c>
      <c r="G198" t="s">
        <v>250</v>
      </c>
      <c r="H198">
        <v>6</v>
      </c>
      <c r="I198">
        <v>299</v>
      </c>
      <c r="J198">
        <v>0.1</v>
      </c>
      <c r="K198">
        <v>1286.93</v>
      </c>
      <c r="L198" t="s">
        <v>44</v>
      </c>
    </row>
    <row r="199" spans="1:12" x14ac:dyDescent="0.3">
      <c r="A199" t="s">
        <v>411</v>
      </c>
      <c r="B199" t="s">
        <v>412</v>
      </c>
      <c r="C199" t="s">
        <v>30</v>
      </c>
      <c r="D199" t="s">
        <v>23</v>
      </c>
      <c r="E199" t="s">
        <v>47</v>
      </c>
      <c r="F199" t="s">
        <v>25</v>
      </c>
      <c r="G199" t="s">
        <v>26</v>
      </c>
      <c r="H199">
        <v>1</v>
      </c>
      <c r="I199">
        <v>599</v>
      </c>
      <c r="J199">
        <v>0.05</v>
      </c>
      <c r="K199">
        <v>457.68</v>
      </c>
      <c r="L199" t="s">
        <v>67</v>
      </c>
    </row>
    <row r="200" spans="1:12" x14ac:dyDescent="0.3">
      <c r="A200" t="s">
        <v>413</v>
      </c>
      <c r="B200" t="s">
        <v>414</v>
      </c>
      <c r="D200" t="s">
        <v>15</v>
      </c>
      <c r="E200" t="s">
        <v>47</v>
      </c>
      <c r="F200" t="s">
        <v>39</v>
      </c>
      <c r="G200" t="s">
        <v>106</v>
      </c>
      <c r="H200">
        <v>6</v>
      </c>
      <c r="I200">
        <v>999</v>
      </c>
      <c r="J200">
        <v>0.05</v>
      </c>
      <c r="K200">
        <v>4003.31</v>
      </c>
      <c r="L200" t="s">
        <v>19</v>
      </c>
    </row>
    <row r="201" spans="1:12" x14ac:dyDescent="0.3">
      <c r="A201" t="s">
        <v>415</v>
      </c>
      <c r="B201" t="s">
        <v>416</v>
      </c>
      <c r="C201" t="s">
        <v>22</v>
      </c>
      <c r="D201" t="s">
        <v>23</v>
      </c>
      <c r="E201" t="s">
        <v>47</v>
      </c>
      <c r="F201" t="s">
        <v>32</v>
      </c>
      <c r="G201" t="s">
        <v>33</v>
      </c>
      <c r="H201">
        <v>5</v>
      </c>
      <c r="I201">
        <v>1499</v>
      </c>
      <c r="J201">
        <v>0.15</v>
      </c>
      <c r="K201">
        <v>5956.46</v>
      </c>
      <c r="L201" t="s">
        <v>44</v>
      </c>
    </row>
    <row r="202" spans="1:12" x14ac:dyDescent="0.3">
      <c r="A202" t="s">
        <v>417</v>
      </c>
      <c r="B202" t="s">
        <v>418</v>
      </c>
      <c r="C202" t="s">
        <v>14</v>
      </c>
      <c r="D202" t="s">
        <v>23</v>
      </c>
      <c r="E202" t="s">
        <v>47</v>
      </c>
      <c r="F202" t="s">
        <v>17</v>
      </c>
      <c r="G202" t="s">
        <v>89</v>
      </c>
      <c r="H202">
        <v>8</v>
      </c>
      <c r="I202">
        <v>650</v>
      </c>
      <c r="J202">
        <v>0.1</v>
      </c>
      <c r="K202">
        <v>4368.63</v>
      </c>
      <c r="L202" t="s">
        <v>19</v>
      </c>
    </row>
    <row r="203" spans="1:12" x14ac:dyDescent="0.3">
      <c r="A203" t="s">
        <v>419</v>
      </c>
      <c r="B203" t="s">
        <v>420</v>
      </c>
      <c r="C203" t="s">
        <v>30</v>
      </c>
      <c r="D203" t="s">
        <v>15</v>
      </c>
      <c r="E203" t="s">
        <v>47</v>
      </c>
      <c r="F203" t="s">
        <v>32</v>
      </c>
      <c r="G203" t="s">
        <v>60</v>
      </c>
      <c r="H203">
        <v>7</v>
      </c>
      <c r="I203">
        <v>1299</v>
      </c>
      <c r="J203">
        <v>0.05</v>
      </c>
      <c r="K203">
        <v>7242.56</v>
      </c>
      <c r="L203" t="s">
        <v>34</v>
      </c>
    </row>
    <row r="204" spans="1:12" x14ac:dyDescent="0.3">
      <c r="A204" t="s">
        <v>421</v>
      </c>
      <c r="B204" t="s">
        <v>376</v>
      </c>
      <c r="C204" t="s">
        <v>22</v>
      </c>
      <c r="D204" t="s">
        <v>15</v>
      </c>
      <c r="E204" t="s">
        <v>31</v>
      </c>
      <c r="F204" t="s">
        <v>25</v>
      </c>
      <c r="G204" t="s">
        <v>250</v>
      </c>
      <c r="H204">
        <v>6</v>
      </c>
      <c r="I204">
        <v>299</v>
      </c>
      <c r="J204">
        <v>0.15</v>
      </c>
      <c r="K204">
        <v>1068.2</v>
      </c>
      <c r="L204" t="s">
        <v>34</v>
      </c>
    </row>
    <row r="205" spans="1:12" x14ac:dyDescent="0.3">
      <c r="A205" t="s">
        <v>422</v>
      </c>
      <c r="B205" t="s">
        <v>423</v>
      </c>
      <c r="C205" t="s">
        <v>76</v>
      </c>
      <c r="D205" t="s">
        <v>23</v>
      </c>
      <c r="E205" t="s">
        <v>16</v>
      </c>
      <c r="F205" t="s">
        <v>25</v>
      </c>
      <c r="G205" t="s">
        <v>79</v>
      </c>
      <c r="H205">
        <v>4</v>
      </c>
      <c r="I205">
        <v>899</v>
      </c>
      <c r="J205">
        <v>0.2</v>
      </c>
      <c r="K205">
        <v>2328.46</v>
      </c>
      <c r="L205" t="s">
        <v>67</v>
      </c>
    </row>
    <row r="206" spans="1:12" x14ac:dyDescent="0.3">
      <c r="A206" t="s">
        <v>424</v>
      </c>
      <c r="B206" t="s">
        <v>388</v>
      </c>
      <c r="C206" t="s">
        <v>37</v>
      </c>
      <c r="D206" t="s">
        <v>23</v>
      </c>
      <c r="E206" t="s">
        <v>31</v>
      </c>
      <c r="F206" t="s">
        <v>32</v>
      </c>
      <c r="G206" t="s">
        <v>33</v>
      </c>
      <c r="H206">
        <v>6</v>
      </c>
      <c r="I206">
        <v>1499</v>
      </c>
      <c r="J206">
        <v>0.2</v>
      </c>
      <c r="K206">
        <v>5902.64</v>
      </c>
      <c r="L206" t="s">
        <v>44</v>
      </c>
    </row>
    <row r="207" spans="1:12" x14ac:dyDescent="0.3">
      <c r="A207" t="s">
        <v>425</v>
      </c>
      <c r="B207" t="s">
        <v>426</v>
      </c>
      <c r="C207" t="s">
        <v>73</v>
      </c>
      <c r="D207" t="s">
        <v>15</v>
      </c>
      <c r="E207" t="s">
        <v>31</v>
      </c>
      <c r="F207" t="s">
        <v>17</v>
      </c>
      <c r="G207" t="s">
        <v>74</v>
      </c>
      <c r="H207">
        <v>5</v>
      </c>
      <c r="I207">
        <v>240</v>
      </c>
      <c r="J207">
        <v>0.05</v>
      </c>
      <c r="K207">
        <v>998.93</v>
      </c>
      <c r="L207" t="s">
        <v>44</v>
      </c>
    </row>
    <row r="208" spans="1:12" x14ac:dyDescent="0.3">
      <c r="A208" t="s">
        <v>427</v>
      </c>
      <c r="B208" t="s">
        <v>258</v>
      </c>
      <c r="C208" t="s">
        <v>30</v>
      </c>
      <c r="D208" t="s">
        <v>23</v>
      </c>
      <c r="E208" t="s">
        <v>38</v>
      </c>
      <c r="F208" t="s">
        <v>32</v>
      </c>
      <c r="G208" t="s">
        <v>51</v>
      </c>
      <c r="H208">
        <v>5</v>
      </c>
      <c r="I208">
        <v>699</v>
      </c>
      <c r="J208">
        <v>0.1</v>
      </c>
      <c r="K208">
        <v>2050.0300000000002</v>
      </c>
      <c r="L208" t="s">
        <v>19</v>
      </c>
    </row>
    <row r="209" spans="1:12" x14ac:dyDescent="0.3">
      <c r="A209" t="s">
        <v>428</v>
      </c>
      <c r="B209" t="s">
        <v>247</v>
      </c>
      <c r="C209" t="s">
        <v>37</v>
      </c>
      <c r="D209" t="s">
        <v>23</v>
      </c>
      <c r="E209" t="s">
        <v>31</v>
      </c>
      <c r="F209" t="s">
        <v>17</v>
      </c>
      <c r="G209" t="s">
        <v>89</v>
      </c>
      <c r="H209">
        <v>5</v>
      </c>
      <c r="I209">
        <v>650</v>
      </c>
      <c r="J209">
        <v>0</v>
      </c>
      <c r="K209">
        <v>2125.1999999999998</v>
      </c>
      <c r="L209" t="s">
        <v>67</v>
      </c>
    </row>
    <row r="210" spans="1:12" x14ac:dyDescent="0.3">
      <c r="A210" t="s">
        <v>429</v>
      </c>
      <c r="B210" t="s">
        <v>245</v>
      </c>
      <c r="C210" t="s">
        <v>63</v>
      </c>
      <c r="D210" t="s">
        <v>23</v>
      </c>
      <c r="E210" t="s">
        <v>31</v>
      </c>
      <c r="F210" t="s">
        <v>39</v>
      </c>
      <c r="G210" t="s">
        <v>210</v>
      </c>
      <c r="H210">
        <v>5</v>
      </c>
      <c r="I210">
        <v>1999</v>
      </c>
      <c r="J210">
        <v>0.2</v>
      </c>
      <c r="K210">
        <v>7584.72</v>
      </c>
      <c r="L210" t="s">
        <v>34</v>
      </c>
    </row>
    <row r="211" spans="1:12" x14ac:dyDescent="0.3">
      <c r="A211" t="s">
        <v>430</v>
      </c>
      <c r="B211" t="s">
        <v>99</v>
      </c>
      <c r="C211" t="s">
        <v>22</v>
      </c>
      <c r="D211" t="s">
        <v>15</v>
      </c>
      <c r="E211" t="s">
        <v>31</v>
      </c>
      <c r="F211" t="s">
        <v>25</v>
      </c>
      <c r="G211" t="s">
        <v>70</v>
      </c>
      <c r="H211">
        <v>4</v>
      </c>
      <c r="I211">
        <v>1299</v>
      </c>
      <c r="J211">
        <v>0.05</v>
      </c>
      <c r="K211">
        <v>2939.62</v>
      </c>
      <c r="L211" t="s">
        <v>67</v>
      </c>
    </row>
    <row r="212" spans="1:12" x14ac:dyDescent="0.3">
      <c r="A212" t="s">
        <v>431</v>
      </c>
      <c r="B212" t="s">
        <v>418</v>
      </c>
      <c r="C212" t="s">
        <v>73</v>
      </c>
      <c r="D212" t="s">
        <v>15</v>
      </c>
      <c r="E212" t="s">
        <v>16</v>
      </c>
      <c r="F212" t="s">
        <v>39</v>
      </c>
      <c r="G212" t="s">
        <v>48</v>
      </c>
      <c r="H212">
        <v>3</v>
      </c>
      <c r="I212">
        <v>799</v>
      </c>
      <c r="J212">
        <v>0.15</v>
      </c>
      <c r="K212">
        <v>1787.85</v>
      </c>
      <c r="L212" t="s">
        <v>67</v>
      </c>
    </row>
    <row r="213" spans="1:12" x14ac:dyDescent="0.3">
      <c r="A213" t="s">
        <v>432</v>
      </c>
      <c r="B213" t="s">
        <v>433</v>
      </c>
      <c r="C213" t="s">
        <v>30</v>
      </c>
      <c r="D213" t="s">
        <v>23</v>
      </c>
      <c r="E213" t="s">
        <v>221</v>
      </c>
      <c r="F213" t="s">
        <v>17</v>
      </c>
      <c r="G213" t="s">
        <v>89</v>
      </c>
      <c r="H213">
        <v>2</v>
      </c>
      <c r="I213">
        <v>650</v>
      </c>
      <c r="J213">
        <v>0.2</v>
      </c>
      <c r="K213">
        <v>805.57</v>
      </c>
      <c r="L213" t="s">
        <v>27</v>
      </c>
    </row>
    <row r="214" spans="1:12" x14ac:dyDescent="0.3">
      <c r="A214" t="s">
        <v>434</v>
      </c>
      <c r="B214" t="s">
        <v>435</v>
      </c>
      <c r="C214" t="s">
        <v>37</v>
      </c>
      <c r="D214" t="s">
        <v>15</v>
      </c>
      <c r="E214" t="s">
        <v>24</v>
      </c>
      <c r="F214" t="s">
        <v>32</v>
      </c>
      <c r="G214" t="s">
        <v>97</v>
      </c>
      <c r="H214">
        <v>3</v>
      </c>
      <c r="I214">
        <v>899</v>
      </c>
      <c r="J214">
        <v>0.1</v>
      </c>
      <c r="K214">
        <v>2192.7199999999998</v>
      </c>
      <c r="L214" t="s">
        <v>27</v>
      </c>
    </row>
    <row r="215" spans="1:12" x14ac:dyDescent="0.3">
      <c r="A215" t="s">
        <v>436</v>
      </c>
      <c r="B215" t="s">
        <v>166</v>
      </c>
      <c r="C215" t="s">
        <v>22</v>
      </c>
      <c r="D215" t="s">
        <v>15</v>
      </c>
      <c r="E215" t="s">
        <v>38</v>
      </c>
      <c r="F215" t="s">
        <v>17</v>
      </c>
      <c r="G215" t="s">
        <v>86</v>
      </c>
      <c r="H215">
        <v>8</v>
      </c>
      <c r="I215">
        <v>55</v>
      </c>
      <c r="J215">
        <v>0.05</v>
      </c>
      <c r="K215">
        <v>354.34</v>
      </c>
      <c r="L215" t="s">
        <v>67</v>
      </c>
    </row>
    <row r="216" spans="1:12" x14ac:dyDescent="0.3">
      <c r="A216" t="s">
        <v>437</v>
      </c>
      <c r="B216" t="s">
        <v>438</v>
      </c>
      <c r="C216" t="s">
        <v>30</v>
      </c>
      <c r="D216" t="s">
        <v>15</v>
      </c>
      <c r="E216" t="s">
        <v>38</v>
      </c>
      <c r="F216" t="s">
        <v>39</v>
      </c>
      <c r="G216" t="s">
        <v>66</v>
      </c>
      <c r="H216">
        <v>5</v>
      </c>
      <c r="I216">
        <v>1199</v>
      </c>
      <c r="J216">
        <v>0.05</v>
      </c>
      <c r="K216">
        <v>3322.58</v>
      </c>
      <c r="L216" t="s">
        <v>44</v>
      </c>
    </row>
    <row r="217" spans="1:12" x14ac:dyDescent="0.3">
      <c r="A217" t="s">
        <v>439</v>
      </c>
      <c r="B217" t="s">
        <v>440</v>
      </c>
      <c r="C217" t="s">
        <v>22</v>
      </c>
      <c r="D217" t="s">
        <v>15</v>
      </c>
      <c r="E217" t="s">
        <v>31</v>
      </c>
      <c r="F217" t="s">
        <v>32</v>
      </c>
      <c r="G217" t="s">
        <v>97</v>
      </c>
      <c r="H217">
        <v>6</v>
      </c>
      <c r="I217">
        <v>899</v>
      </c>
      <c r="J217">
        <v>0</v>
      </c>
      <c r="K217">
        <v>3615.33</v>
      </c>
      <c r="L217" t="s">
        <v>27</v>
      </c>
    </row>
    <row r="218" spans="1:12" x14ac:dyDescent="0.3">
      <c r="A218" t="s">
        <v>441</v>
      </c>
      <c r="B218" t="s">
        <v>442</v>
      </c>
      <c r="C218" t="s">
        <v>82</v>
      </c>
      <c r="D218" t="s">
        <v>23</v>
      </c>
      <c r="E218" t="s">
        <v>38</v>
      </c>
      <c r="F218" t="s">
        <v>39</v>
      </c>
      <c r="G218" t="s">
        <v>48</v>
      </c>
      <c r="H218">
        <v>5</v>
      </c>
      <c r="I218">
        <v>799</v>
      </c>
      <c r="J218">
        <v>0.15</v>
      </c>
      <c r="K218">
        <v>2479.52</v>
      </c>
      <c r="L218" t="s">
        <v>44</v>
      </c>
    </row>
    <row r="219" spans="1:12" x14ac:dyDescent="0.3">
      <c r="A219" t="s">
        <v>443</v>
      </c>
      <c r="B219" t="s">
        <v>444</v>
      </c>
      <c r="C219" t="s">
        <v>63</v>
      </c>
      <c r="D219" t="s">
        <v>15</v>
      </c>
      <c r="E219" t="s">
        <v>38</v>
      </c>
      <c r="F219" t="s">
        <v>17</v>
      </c>
      <c r="G219" t="s">
        <v>18</v>
      </c>
      <c r="H219">
        <v>1</v>
      </c>
      <c r="I219">
        <v>420</v>
      </c>
      <c r="J219">
        <v>0</v>
      </c>
      <c r="K219">
        <v>289.64</v>
      </c>
      <c r="L219" t="s">
        <v>34</v>
      </c>
    </row>
    <row r="220" spans="1:12" x14ac:dyDescent="0.3">
      <c r="A220" t="s">
        <v>445</v>
      </c>
      <c r="B220" t="s">
        <v>446</v>
      </c>
      <c r="C220" t="s">
        <v>76</v>
      </c>
      <c r="D220" t="s">
        <v>23</v>
      </c>
      <c r="E220" t="s">
        <v>16</v>
      </c>
      <c r="F220" t="s">
        <v>25</v>
      </c>
      <c r="G220" t="s">
        <v>56</v>
      </c>
      <c r="H220">
        <v>6</v>
      </c>
      <c r="I220">
        <v>1499</v>
      </c>
      <c r="J220">
        <v>0.2</v>
      </c>
      <c r="K220">
        <v>5542.6</v>
      </c>
      <c r="L220" t="s">
        <v>34</v>
      </c>
    </row>
    <row r="221" spans="1:12" x14ac:dyDescent="0.3">
      <c r="A221" t="s">
        <v>447</v>
      </c>
      <c r="B221" t="s">
        <v>433</v>
      </c>
      <c r="C221" t="s">
        <v>82</v>
      </c>
      <c r="D221" t="s">
        <v>23</v>
      </c>
      <c r="E221" t="s">
        <v>16</v>
      </c>
      <c r="F221" t="s">
        <v>17</v>
      </c>
      <c r="G221" t="s">
        <v>86</v>
      </c>
      <c r="H221">
        <v>8</v>
      </c>
      <c r="I221">
        <v>55</v>
      </c>
      <c r="J221">
        <v>0.2</v>
      </c>
      <c r="K221">
        <v>347.86</v>
      </c>
      <c r="L221" t="s">
        <v>34</v>
      </c>
    </row>
    <row r="222" spans="1:12" x14ac:dyDescent="0.3">
      <c r="A222" t="s">
        <v>448</v>
      </c>
      <c r="B222" t="s">
        <v>449</v>
      </c>
      <c r="C222" t="s">
        <v>22</v>
      </c>
      <c r="D222" t="s">
        <v>15</v>
      </c>
      <c r="E222" t="s">
        <v>47</v>
      </c>
      <c r="F222" t="s">
        <v>32</v>
      </c>
      <c r="G222" t="s">
        <v>33</v>
      </c>
      <c r="H222">
        <v>6</v>
      </c>
      <c r="I222">
        <v>1499</v>
      </c>
      <c r="J222">
        <v>0</v>
      </c>
      <c r="K222">
        <v>7421.61</v>
      </c>
      <c r="L222" t="s">
        <v>27</v>
      </c>
    </row>
    <row r="223" spans="1:12" x14ac:dyDescent="0.3">
      <c r="A223" t="s">
        <v>450</v>
      </c>
      <c r="B223" t="s">
        <v>108</v>
      </c>
      <c r="C223" t="s">
        <v>76</v>
      </c>
      <c r="D223" t="s">
        <v>15</v>
      </c>
      <c r="E223" t="s">
        <v>47</v>
      </c>
      <c r="F223" t="s">
        <v>39</v>
      </c>
      <c r="G223" t="s">
        <v>40</v>
      </c>
      <c r="H223">
        <v>6</v>
      </c>
      <c r="I223">
        <v>1599</v>
      </c>
      <c r="J223">
        <v>0.2</v>
      </c>
      <c r="K223">
        <v>6548.41</v>
      </c>
      <c r="L223" t="s">
        <v>34</v>
      </c>
    </row>
    <row r="224" spans="1:12" x14ac:dyDescent="0.3">
      <c r="A224" t="s">
        <v>451</v>
      </c>
      <c r="B224" t="s">
        <v>256</v>
      </c>
      <c r="C224" t="s">
        <v>73</v>
      </c>
      <c r="D224" t="s">
        <v>15</v>
      </c>
      <c r="E224" t="s">
        <v>47</v>
      </c>
      <c r="F224" t="s">
        <v>32</v>
      </c>
      <c r="G224" t="s">
        <v>103</v>
      </c>
      <c r="H224">
        <v>8</v>
      </c>
      <c r="I224">
        <v>499</v>
      </c>
      <c r="J224">
        <v>0.05</v>
      </c>
      <c r="K224">
        <v>2810.27</v>
      </c>
      <c r="L224" t="s">
        <v>67</v>
      </c>
    </row>
    <row r="225" spans="1:12" x14ac:dyDescent="0.3">
      <c r="A225" t="s">
        <v>452</v>
      </c>
      <c r="B225" t="s">
        <v>453</v>
      </c>
      <c r="C225" t="s">
        <v>92</v>
      </c>
      <c r="D225" t="s">
        <v>23</v>
      </c>
      <c r="E225" t="s">
        <v>16</v>
      </c>
      <c r="F225" t="s">
        <v>17</v>
      </c>
      <c r="G225" t="s">
        <v>89</v>
      </c>
      <c r="H225">
        <v>7</v>
      </c>
      <c r="I225">
        <v>650</v>
      </c>
      <c r="J225">
        <v>0.1</v>
      </c>
      <c r="K225">
        <v>3616.96</v>
      </c>
      <c r="L225" t="s">
        <v>34</v>
      </c>
    </row>
    <row r="226" spans="1:12" x14ac:dyDescent="0.3">
      <c r="A226" t="s">
        <v>454</v>
      </c>
      <c r="B226" t="s">
        <v>326</v>
      </c>
      <c r="C226" t="s">
        <v>14</v>
      </c>
      <c r="D226" t="s">
        <v>15</v>
      </c>
      <c r="E226" t="s">
        <v>59</v>
      </c>
      <c r="F226" t="s">
        <v>17</v>
      </c>
      <c r="G226" t="s">
        <v>89</v>
      </c>
      <c r="H226">
        <v>1</v>
      </c>
      <c r="I226">
        <v>650</v>
      </c>
      <c r="J226">
        <v>0</v>
      </c>
      <c r="K226">
        <v>549.79999999999995</v>
      </c>
      <c r="L226" t="s">
        <v>67</v>
      </c>
    </row>
    <row r="227" spans="1:12" x14ac:dyDescent="0.3">
      <c r="A227" t="s">
        <v>455</v>
      </c>
      <c r="B227" t="s">
        <v>376</v>
      </c>
      <c r="C227" t="s">
        <v>63</v>
      </c>
      <c r="D227" t="s">
        <v>23</v>
      </c>
      <c r="E227" t="s">
        <v>31</v>
      </c>
      <c r="F227" t="s">
        <v>39</v>
      </c>
      <c r="G227" t="s">
        <v>66</v>
      </c>
      <c r="H227">
        <v>6</v>
      </c>
      <c r="I227">
        <v>1199</v>
      </c>
      <c r="J227">
        <v>0.15</v>
      </c>
      <c r="K227">
        <v>4924.7299999999996</v>
      </c>
      <c r="L227" t="s">
        <v>67</v>
      </c>
    </row>
    <row r="228" spans="1:12" x14ac:dyDescent="0.3">
      <c r="A228" t="s">
        <v>456</v>
      </c>
      <c r="B228" t="s">
        <v>457</v>
      </c>
      <c r="C228" t="s">
        <v>14</v>
      </c>
      <c r="D228" t="s">
        <v>15</v>
      </c>
      <c r="E228" t="s">
        <v>16</v>
      </c>
      <c r="F228" t="s">
        <v>17</v>
      </c>
      <c r="G228" t="s">
        <v>89</v>
      </c>
      <c r="H228">
        <v>3</v>
      </c>
      <c r="I228">
        <v>650</v>
      </c>
      <c r="J228">
        <v>0.2</v>
      </c>
      <c r="K228">
        <v>1302.44</v>
      </c>
      <c r="L228" t="s">
        <v>34</v>
      </c>
    </row>
    <row r="229" spans="1:12" x14ac:dyDescent="0.3">
      <c r="A229" t="s">
        <v>458</v>
      </c>
      <c r="B229" t="s">
        <v>135</v>
      </c>
      <c r="C229" t="s">
        <v>92</v>
      </c>
      <c r="D229" t="s">
        <v>15</v>
      </c>
      <c r="E229" t="s">
        <v>38</v>
      </c>
      <c r="F229" t="s">
        <v>32</v>
      </c>
      <c r="G229" t="s">
        <v>33</v>
      </c>
      <c r="H229">
        <v>7</v>
      </c>
      <c r="I229">
        <v>1499</v>
      </c>
      <c r="J229">
        <v>0.2</v>
      </c>
      <c r="K229">
        <v>6965.07</v>
      </c>
      <c r="L229" t="s">
        <v>34</v>
      </c>
    </row>
    <row r="230" spans="1:12" x14ac:dyDescent="0.3">
      <c r="A230" t="s">
        <v>459</v>
      </c>
      <c r="B230" t="s">
        <v>449</v>
      </c>
      <c r="C230" t="s">
        <v>73</v>
      </c>
      <c r="D230" t="s">
        <v>23</v>
      </c>
      <c r="E230" t="s">
        <v>31</v>
      </c>
      <c r="F230" t="s">
        <v>17</v>
      </c>
      <c r="G230" t="s">
        <v>18</v>
      </c>
      <c r="H230">
        <v>2</v>
      </c>
      <c r="I230">
        <v>420</v>
      </c>
      <c r="J230">
        <v>0</v>
      </c>
      <c r="K230">
        <v>665.99</v>
      </c>
      <c r="L230" t="s">
        <v>67</v>
      </c>
    </row>
    <row r="231" spans="1:12" x14ac:dyDescent="0.3">
      <c r="A231" t="s">
        <v>460</v>
      </c>
      <c r="B231" t="s">
        <v>300</v>
      </c>
      <c r="C231" t="s">
        <v>92</v>
      </c>
      <c r="D231" t="s">
        <v>15</v>
      </c>
      <c r="E231" t="s">
        <v>31</v>
      </c>
      <c r="F231" t="s">
        <v>25</v>
      </c>
      <c r="G231" t="s">
        <v>26</v>
      </c>
      <c r="H231">
        <v>1</v>
      </c>
      <c r="I231">
        <v>599</v>
      </c>
      <c r="J231">
        <v>0.15</v>
      </c>
      <c r="K231">
        <v>436.87</v>
      </c>
      <c r="L231" t="s">
        <v>27</v>
      </c>
    </row>
    <row r="232" spans="1:12" x14ac:dyDescent="0.3">
      <c r="A232" t="s">
        <v>461</v>
      </c>
      <c r="B232" t="s">
        <v>462</v>
      </c>
      <c r="C232" t="s">
        <v>92</v>
      </c>
      <c r="D232" t="s">
        <v>23</v>
      </c>
      <c r="E232" t="s">
        <v>59</v>
      </c>
      <c r="F232" t="s">
        <v>39</v>
      </c>
      <c r="G232" t="s">
        <v>210</v>
      </c>
      <c r="H232">
        <v>4</v>
      </c>
      <c r="I232">
        <v>1999</v>
      </c>
      <c r="J232">
        <v>0</v>
      </c>
      <c r="K232">
        <v>4733.96</v>
      </c>
      <c r="L232" t="s">
        <v>44</v>
      </c>
    </row>
    <row r="233" spans="1:12" x14ac:dyDescent="0.3">
      <c r="A233" t="s">
        <v>463</v>
      </c>
      <c r="B233" t="s">
        <v>50</v>
      </c>
      <c r="C233" t="s">
        <v>22</v>
      </c>
      <c r="D233" t="s">
        <v>23</v>
      </c>
      <c r="E233" t="s">
        <v>47</v>
      </c>
      <c r="F233" t="s">
        <v>17</v>
      </c>
      <c r="G233" t="s">
        <v>18</v>
      </c>
      <c r="H233">
        <v>5</v>
      </c>
      <c r="I233">
        <v>420</v>
      </c>
      <c r="J233">
        <v>0.05</v>
      </c>
      <c r="K233">
        <v>1775.99</v>
      </c>
      <c r="L233" t="s">
        <v>19</v>
      </c>
    </row>
    <row r="234" spans="1:12" x14ac:dyDescent="0.3">
      <c r="A234" t="s">
        <v>464</v>
      </c>
      <c r="B234" t="s">
        <v>465</v>
      </c>
      <c r="C234" t="s">
        <v>37</v>
      </c>
      <c r="D234" t="s">
        <v>23</v>
      </c>
      <c r="E234" t="s">
        <v>38</v>
      </c>
      <c r="F234" t="s">
        <v>25</v>
      </c>
      <c r="G234" t="s">
        <v>70</v>
      </c>
      <c r="H234">
        <v>3</v>
      </c>
      <c r="I234">
        <v>1299</v>
      </c>
      <c r="J234">
        <v>0.15</v>
      </c>
      <c r="K234">
        <v>2793.2</v>
      </c>
      <c r="L234" t="s">
        <v>27</v>
      </c>
    </row>
    <row r="235" spans="1:12" x14ac:dyDescent="0.3">
      <c r="A235" t="s">
        <v>466</v>
      </c>
      <c r="B235" t="s">
        <v>239</v>
      </c>
      <c r="C235" t="s">
        <v>37</v>
      </c>
      <c r="D235" t="s">
        <v>23</v>
      </c>
      <c r="E235" t="s">
        <v>16</v>
      </c>
      <c r="F235" t="s">
        <v>32</v>
      </c>
      <c r="G235" t="s">
        <v>97</v>
      </c>
      <c r="H235">
        <v>3</v>
      </c>
      <c r="I235">
        <v>899</v>
      </c>
      <c r="J235">
        <v>0.1</v>
      </c>
      <c r="K235">
        <v>1787.94</v>
      </c>
      <c r="L235" t="s">
        <v>19</v>
      </c>
    </row>
    <row r="236" spans="1:12" x14ac:dyDescent="0.3">
      <c r="A236" t="s">
        <v>467</v>
      </c>
      <c r="B236" t="s">
        <v>149</v>
      </c>
      <c r="C236" t="s">
        <v>30</v>
      </c>
      <c r="D236" t="s">
        <v>15</v>
      </c>
      <c r="E236" t="s">
        <v>38</v>
      </c>
      <c r="F236" t="s">
        <v>39</v>
      </c>
      <c r="G236" t="s">
        <v>66</v>
      </c>
      <c r="H236">
        <v>1</v>
      </c>
      <c r="I236">
        <v>1199</v>
      </c>
      <c r="J236">
        <v>0.2</v>
      </c>
      <c r="K236">
        <v>807.89</v>
      </c>
      <c r="L236" t="s">
        <v>67</v>
      </c>
    </row>
    <row r="237" spans="1:12" x14ac:dyDescent="0.3">
      <c r="A237" t="s">
        <v>468</v>
      </c>
      <c r="B237" t="s">
        <v>335</v>
      </c>
      <c r="C237" t="s">
        <v>76</v>
      </c>
      <c r="D237" t="s">
        <v>15</v>
      </c>
      <c r="E237" t="s">
        <v>59</v>
      </c>
      <c r="F237" t="s">
        <v>39</v>
      </c>
      <c r="G237" t="s">
        <v>106</v>
      </c>
      <c r="H237">
        <v>4</v>
      </c>
      <c r="I237">
        <v>999</v>
      </c>
      <c r="J237">
        <v>0.1</v>
      </c>
      <c r="K237">
        <v>2973.07</v>
      </c>
      <c r="L237" t="s">
        <v>67</v>
      </c>
    </row>
    <row r="238" spans="1:12" x14ac:dyDescent="0.3">
      <c r="A238" t="s">
        <v>469</v>
      </c>
      <c r="B238" t="s">
        <v>470</v>
      </c>
      <c r="C238" t="s">
        <v>14</v>
      </c>
      <c r="D238" t="s">
        <v>15</v>
      </c>
      <c r="E238" t="s">
        <v>24</v>
      </c>
      <c r="F238" t="s">
        <v>17</v>
      </c>
      <c r="G238" t="s">
        <v>86</v>
      </c>
      <c r="H238">
        <v>1</v>
      </c>
      <c r="I238">
        <v>55</v>
      </c>
      <c r="J238">
        <v>0</v>
      </c>
      <c r="K238">
        <v>33.35</v>
      </c>
      <c r="L238" t="s">
        <v>19</v>
      </c>
    </row>
    <row r="239" spans="1:12" x14ac:dyDescent="0.3">
      <c r="A239" t="s">
        <v>471</v>
      </c>
      <c r="B239" t="s">
        <v>472</v>
      </c>
      <c r="C239" t="s">
        <v>76</v>
      </c>
      <c r="D239" t="s">
        <v>15</v>
      </c>
      <c r="E239" t="s">
        <v>59</v>
      </c>
      <c r="F239" t="s">
        <v>39</v>
      </c>
      <c r="G239" t="s">
        <v>106</v>
      </c>
      <c r="H239">
        <v>5</v>
      </c>
      <c r="I239">
        <v>999</v>
      </c>
      <c r="J239">
        <v>0</v>
      </c>
      <c r="K239">
        <v>3064.64</v>
      </c>
      <c r="L239" t="s">
        <v>34</v>
      </c>
    </row>
    <row r="240" spans="1:12" x14ac:dyDescent="0.3">
      <c r="A240" t="s">
        <v>473</v>
      </c>
      <c r="B240" t="s">
        <v>474</v>
      </c>
      <c r="C240" t="s">
        <v>73</v>
      </c>
      <c r="D240" t="s">
        <v>15</v>
      </c>
      <c r="E240" t="s">
        <v>16</v>
      </c>
      <c r="F240" t="s">
        <v>39</v>
      </c>
      <c r="G240" t="s">
        <v>66</v>
      </c>
      <c r="H240">
        <v>4</v>
      </c>
      <c r="I240">
        <v>1199</v>
      </c>
      <c r="J240">
        <v>0.2</v>
      </c>
      <c r="K240">
        <v>3100.54</v>
      </c>
      <c r="L240" t="s">
        <v>44</v>
      </c>
    </row>
    <row r="241" spans="1:12" x14ac:dyDescent="0.3">
      <c r="A241" t="s">
        <v>475</v>
      </c>
      <c r="B241" t="s">
        <v>247</v>
      </c>
      <c r="C241" t="s">
        <v>73</v>
      </c>
      <c r="D241" t="s">
        <v>23</v>
      </c>
      <c r="E241" t="s">
        <v>38</v>
      </c>
      <c r="F241" t="s">
        <v>17</v>
      </c>
      <c r="G241" t="s">
        <v>113</v>
      </c>
      <c r="H241">
        <v>8</v>
      </c>
      <c r="I241">
        <v>180</v>
      </c>
      <c r="J241">
        <v>0.15</v>
      </c>
      <c r="K241">
        <v>834.6</v>
      </c>
      <c r="L241" t="s">
        <v>67</v>
      </c>
    </row>
    <row r="242" spans="1:12" x14ac:dyDescent="0.3">
      <c r="A242" t="s">
        <v>476</v>
      </c>
      <c r="B242" t="s">
        <v>477</v>
      </c>
      <c r="C242" t="s">
        <v>30</v>
      </c>
      <c r="D242" t="s">
        <v>23</v>
      </c>
      <c r="E242" t="s">
        <v>38</v>
      </c>
      <c r="F242" t="s">
        <v>32</v>
      </c>
      <c r="G242" t="s">
        <v>103</v>
      </c>
      <c r="H242">
        <v>4</v>
      </c>
      <c r="I242">
        <v>499</v>
      </c>
      <c r="J242">
        <v>0.05</v>
      </c>
      <c r="K242">
        <v>1107.51</v>
      </c>
      <c r="L242" t="s">
        <v>19</v>
      </c>
    </row>
    <row r="243" spans="1:12" x14ac:dyDescent="0.3">
      <c r="A243" t="s">
        <v>478</v>
      </c>
      <c r="B243" t="s">
        <v>479</v>
      </c>
      <c r="C243" t="s">
        <v>22</v>
      </c>
      <c r="D243" t="s">
        <v>23</v>
      </c>
      <c r="E243" t="s">
        <v>38</v>
      </c>
      <c r="F243" t="s">
        <v>39</v>
      </c>
      <c r="G243" t="s">
        <v>40</v>
      </c>
      <c r="H243">
        <v>6</v>
      </c>
      <c r="I243">
        <v>1599</v>
      </c>
      <c r="J243">
        <v>0.05</v>
      </c>
      <c r="K243">
        <v>6369.95</v>
      </c>
      <c r="L243" t="s">
        <v>34</v>
      </c>
    </row>
    <row r="244" spans="1:12" x14ac:dyDescent="0.3">
      <c r="A244" t="s">
        <v>480</v>
      </c>
      <c r="B244" t="s">
        <v>380</v>
      </c>
      <c r="C244" t="s">
        <v>76</v>
      </c>
      <c r="D244" t="s">
        <v>23</v>
      </c>
      <c r="E244" t="s">
        <v>38</v>
      </c>
      <c r="F244" t="s">
        <v>32</v>
      </c>
      <c r="G244" t="s">
        <v>97</v>
      </c>
      <c r="H244">
        <v>8</v>
      </c>
      <c r="I244">
        <v>899</v>
      </c>
      <c r="J244">
        <v>0.05</v>
      </c>
      <c r="K244">
        <v>5536.63</v>
      </c>
      <c r="L244" t="s">
        <v>44</v>
      </c>
    </row>
    <row r="245" spans="1:12" x14ac:dyDescent="0.3">
      <c r="A245" t="s">
        <v>481</v>
      </c>
      <c r="B245" t="s">
        <v>482</v>
      </c>
      <c r="C245" t="s">
        <v>82</v>
      </c>
      <c r="D245" t="s">
        <v>23</v>
      </c>
      <c r="E245" t="s">
        <v>31</v>
      </c>
      <c r="F245" t="s">
        <v>25</v>
      </c>
      <c r="G245" t="s">
        <v>70</v>
      </c>
      <c r="H245">
        <v>1</v>
      </c>
      <c r="I245">
        <v>1299</v>
      </c>
      <c r="J245">
        <v>0</v>
      </c>
      <c r="K245">
        <v>1082.79</v>
      </c>
      <c r="L245" t="s">
        <v>27</v>
      </c>
    </row>
    <row r="246" spans="1:12" x14ac:dyDescent="0.3">
      <c r="A246" t="s">
        <v>483</v>
      </c>
      <c r="B246" t="s">
        <v>312</v>
      </c>
      <c r="C246" t="s">
        <v>37</v>
      </c>
      <c r="D246" t="s">
        <v>15</v>
      </c>
      <c r="E246" t="s">
        <v>16</v>
      </c>
      <c r="F246" t="s">
        <v>39</v>
      </c>
      <c r="G246" t="s">
        <v>48</v>
      </c>
      <c r="H246">
        <v>3</v>
      </c>
      <c r="I246">
        <v>799</v>
      </c>
      <c r="J246">
        <v>0</v>
      </c>
      <c r="K246">
        <v>1475.63</v>
      </c>
      <c r="L246" t="s">
        <v>67</v>
      </c>
    </row>
    <row r="247" spans="1:12" x14ac:dyDescent="0.3">
      <c r="A247" t="s">
        <v>484</v>
      </c>
      <c r="B247" t="s">
        <v>351</v>
      </c>
      <c r="C247" t="s">
        <v>92</v>
      </c>
      <c r="D247" t="s">
        <v>23</v>
      </c>
      <c r="E247" t="s">
        <v>16</v>
      </c>
      <c r="F247" t="s">
        <v>32</v>
      </c>
      <c r="G247" t="s">
        <v>103</v>
      </c>
      <c r="H247">
        <v>1</v>
      </c>
      <c r="I247">
        <v>499</v>
      </c>
      <c r="J247">
        <v>0.2</v>
      </c>
      <c r="K247">
        <v>357.03</v>
      </c>
      <c r="L247" t="s">
        <v>27</v>
      </c>
    </row>
    <row r="248" spans="1:12" x14ac:dyDescent="0.3">
      <c r="A248" t="s">
        <v>485</v>
      </c>
      <c r="B248" t="s">
        <v>486</v>
      </c>
      <c r="C248" t="s">
        <v>76</v>
      </c>
      <c r="D248" t="s">
        <v>23</v>
      </c>
      <c r="E248" t="s">
        <v>47</v>
      </c>
      <c r="F248" t="s">
        <v>17</v>
      </c>
      <c r="G248" t="s">
        <v>89</v>
      </c>
      <c r="H248">
        <v>7</v>
      </c>
      <c r="I248">
        <v>650</v>
      </c>
      <c r="J248">
        <v>0.05</v>
      </c>
      <c r="K248">
        <v>2648.58</v>
      </c>
      <c r="L248" t="s">
        <v>27</v>
      </c>
    </row>
    <row r="249" spans="1:12" x14ac:dyDescent="0.3">
      <c r="A249" t="s">
        <v>487</v>
      </c>
      <c r="B249" t="s">
        <v>360</v>
      </c>
      <c r="C249" t="s">
        <v>82</v>
      </c>
      <c r="D249" t="s">
        <v>15</v>
      </c>
      <c r="E249" t="s">
        <v>31</v>
      </c>
      <c r="F249" t="s">
        <v>17</v>
      </c>
      <c r="G249" t="s">
        <v>113</v>
      </c>
      <c r="H249">
        <v>5</v>
      </c>
      <c r="I249">
        <v>180</v>
      </c>
      <c r="J249">
        <v>0.15</v>
      </c>
      <c r="K249">
        <v>516.34</v>
      </c>
      <c r="L249" t="s">
        <v>67</v>
      </c>
    </row>
    <row r="250" spans="1:12" x14ac:dyDescent="0.3">
      <c r="A250" t="s">
        <v>488</v>
      </c>
      <c r="B250" t="s">
        <v>489</v>
      </c>
      <c r="C250" t="s">
        <v>22</v>
      </c>
      <c r="D250" t="s">
        <v>15</v>
      </c>
      <c r="E250" t="s">
        <v>16</v>
      </c>
      <c r="F250" t="s">
        <v>39</v>
      </c>
      <c r="G250" t="s">
        <v>106</v>
      </c>
      <c r="H250">
        <v>2</v>
      </c>
      <c r="I250">
        <v>999</v>
      </c>
      <c r="J250">
        <v>0</v>
      </c>
      <c r="K250">
        <v>1154.94</v>
      </c>
      <c r="L250" t="s">
        <v>67</v>
      </c>
    </row>
    <row r="251" spans="1:12" x14ac:dyDescent="0.3">
      <c r="A251" t="s">
        <v>490</v>
      </c>
      <c r="B251" t="s">
        <v>491</v>
      </c>
      <c r="C251" t="s">
        <v>76</v>
      </c>
      <c r="D251" t="s">
        <v>23</v>
      </c>
      <c r="E251" t="s">
        <v>24</v>
      </c>
      <c r="F251" t="s">
        <v>25</v>
      </c>
      <c r="G251" t="s">
        <v>79</v>
      </c>
      <c r="H251">
        <v>2</v>
      </c>
      <c r="I251">
        <v>899</v>
      </c>
      <c r="J251">
        <v>0.15</v>
      </c>
      <c r="K251">
        <v>1444.87</v>
      </c>
      <c r="L251" t="s">
        <v>44</v>
      </c>
    </row>
    <row r="252" spans="1:12" x14ac:dyDescent="0.3">
      <c r="A252" t="s">
        <v>492</v>
      </c>
      <c r="B252" t="s">
        <v>493</v>
      </c>
      <c r="C252" t="s">
        <v>14</v>
      </c>
      <c r="D252" t="s">
        <v>15</v>
      </c>
      <c r="E252" t="s">
        <v>31</v>
      </c>
      <c r="F252" t="s">
        <v>39</v>
      </c>
      <c r="G252" t="s">
        <v>210</v>
      </c>
      <c r="H252">
        <v>8</v>
      </c>
      <c r="I252">
        <v>1999</v>
      </c>
      <c r="J252">
        <v>0.1</v>
      </c>
      <c r="K252">
        <v>9018.99</v>
      </c>
      <c r="L252" t="s">
        <v>27</v>
      </c>
    </row>
    <row r="253" spans="1:12" x14ac:dyDescent="0.3">
      <c r="A253" t="s">
        <v>494</v>
      </c>
      <c r="B253" t="s">
        <v>182</v>
      </c>
      <c r="C253" t="s">
        <v>63</v>
      </c>
      <c r="D253" t="s">
        <v>15</v>
      </c>
      <c r="E253" t="s">
        <v>31</v>
      </c>
      <c r="F253" t="s">
        <v>17</v>
      </c>
      <c r="G253" t="s">
        <v>89</v>
      </c>
      <c r="H253">
        <v>4</v>
      </c>
      <c r="I253">
        <v>650</v>
      </c>
      <c r="J253">
        <v>0.2</v>
      </c>
      <c r="K253">
        <v>1542.47</v>
      </c>
      <c r="L253" t="s">
        <v>67</v>
      </c>
    </row>
    <row r="254" spans="1:12" x14ac:dyDescent="0.3">
      <c r="A254" t="s">
        <v>495</v>
      </c>
      <c r="B254" t="s">
        <v>321</v>
      </c>
      <c r="C254" t="s">
        <v>63</v>
      </c>
      <c r="D254" t="s">
        <v>15</v>
      </c>
      <c r="E254" t="s">
        <v>47</v>
      </c>
      <c r="F254" t="s">
        <v>39</v>
      </c>
      <c r="G254" t="s">
        <v>210</v>
      </c>
      <c r="H254">
        <v>7</v>
      </c>
      <c r="I254">
        <v>1999</v>
      </c>
      <c r="J254">
        <v>0.2</v>
      </c>
      <c r="K254">
        <v>9088.7199999999993</v>
      </c>
      <c r="L254" t="s">
        <v>34</v>
      </c>
    </row>
    <row r="255" spans="1:12" x14ac:dyDescent="0.3">
      <c r="A255" t="s">
        <v>496</v>
      </c>
      <c r="B255" t="s">
        <v>212</v>
      </c>
      <c r="C255" t="s">
        <v>14</v>
      </c>
      <c r="D255" t="s">
        <v>23</v>
      </c>
      <c r="E255" t="s">
        <v>24</v>
      </c>
      <c r="F255" t="s">
        <v>25</v>
      </c>
      <c r="G255" t="s">
        <v>250</v>
      </c>
      <c r="H255">
        <v>4</v>
      </c>
      <c r="I255">
        <v>299</v>
      </c>
      <c r="J255">
        <v>0</v>
      </c>
      <c r="K255">
        <v>780</v>
      </c>
      <c r="L255" t="s">
        <v>19</v>
      </c>
    </row>
    <row r="256" spans="1:12" x14ac:dyDescent="0.3">
      <c r="A256" t="s">
        <v>497</v>
      </c>
      <c r="B256" t="s">
        <v>498</v>
      </c>
      <c r="C256" t="s">
        <v>37</v>
      </c>
      <c r="D256" t="s">
        <v>23</v>
      </c>
      <c r="E256" t="s">
        <v>24</v>
      </c>
      <c r="F256" t="s">
        <v>17</v>
      </c>
      <c r="G256" t="s">
        <v>86</v>
      </c>
      <c r="H256">
        <v>8</v>
      </c>
      <c r="I256">
        <v>55</v>
      </c>
      <c r="J256">
        <v>0.05</v>
      </c>
      <c r="K256">
        <v>288.97000000000003</v>
      </c>
      <c r="L256" t="s">
        <v>67</v>
      </c>
    </row>
    <row r="257" spans="1:12" x14ac:dyDescent="0.3">
      <c r="A257" t="s">
        <v>499</v>
      </c>
      <c r="B257" t="s">
        <v>500</v>
      </c>
      <c r="C257" t="s">
        <v>82</v>
      </c>
      <c r="D257" t="s">
        <v>23</v>
      </c>
      <c r="E257" t="s">
        <v>24</v>
      </c>
      <c r="F257" t="s">
        <v>17</v>
      </c>
      <c r="G257" t="s">
        <v>18</v>
      </c>
      <c r="H257">
        <v>2</v>
      </c>
      <c r="I257">
        <v>420</v>
      </c>
      <c r="J257">
        <v>0</v>
      </c>
      <c r="K257">
        <v>529.53</v>
      </c>
      <c r="L257" t="s">
        <v>67</v>
      </c>
    </row>
    <row r="258" spans="1:12" x14ac:dyDescent="0.3">
      <c r="A258" t="s">
        <v>501</v>
      </c>
      <c r="B258" t="s">
        <v>502</v>
      </c>
      <c r="C258" t="s">
        <v>82</v>
      </c>
      <c r="D258" t="s">
        <v>23</v>
      </c>
      <c r="E258" t="s">
        <v>38</v>
      </c>
      <c r="F258" t="s">
        <v>17</v>
      </c>
      <c r="G258" t="s">
        <v>89</v>
      </c>
      <c r="H258">
        <v>2</v>
      </c>
      <c r="I258">
        <v>650</v>
      </c>
      <c r="J258">
        <v>0</v>
      </c>
      <c r="K258">
        <v>1082.75</v>
      </c>
      <c r="L258" t="s">
        <v>67</v>
      </c>
    </row>
    <row r="259" spans="1:12" x14ac:dyDescent="0.3">
      <c r="A259" t="s">
        <v>503</v>
      </c>
      <c r="B259" t="s">
        <v>504</v>
      </c>
      <c r="C259" t="s">
        <v>63</v>
      </c>
      <c r="D259" t="s">
        <v>15</v>
      </c>
      <c r="E259" t="s">
        <v>31</v>
      </c>
      <c r="F259" t="s">
        <v>25</v>
      </c>
      <c r="G259" t="s">
        <v>79</v>
      </c>
      <c r="H259">
        <v>7</v>
      </c>
      <c r="I259">
        <v>899</v>
      </c>
      <c r="J259">
        <v>0.15</v>
      </c>
      <c r="K259">
        <v>4512.68</v>
      </c>
      <c r="L259" t="s">
        <v>19</v>
      </c>
    </row>
    <row r="260" spans="1:12" x14ac:dyDescent="0.3">
      <c r="A260" t="s">
        <v>505</v>
      </c>
      <c r="B260" t="s">
        <v>506</v>
      </c>
      <c r="C260" t="s">
        <v>14</v>
      </c>
      <c r="D260" t="s">
        <v>15</v>
      </c>
      <c r="E260" t="s">
        <v>24</v>
      </c>
      <c r="F260" t="s">
        <v>17</v>
      </c>
      <c r="G260" t="s">
        <v>74</v>
      </c>
      <c r="H260">
        <v>2</v>
      </c>
      <c r="I260">
        <v>240</v>
      </c>
      <c r="J260">
        <v>0.2</v>
      </c>
      <c r="K260">
        <v>350.12</v>
      </c>
      <c r="L260" t="s">
        <v>44</v>
      </c>
    </row>
    <row r="261" spans="1:12" x14ac:dyDescent="0.3">
      <c r="A261" t="s">
        <v>507</v>
      </c>
      <c r="B261" t="s">
        <v>508</v>
      </c>
      <c r="C261" t="s">
        <v>92</v>
      </c>
      <c r="D261" t="s">
        <v>23</v>
      </c>
      <c r="E261" t="s">
        <v>59</v>
      </c>
      <c r="F261" t="s">
        <v>32</v>
      </c>
      <c r="G261" t="s">
        <v>103</v>
      </c>
      <c r="H261">
        <v>4</v>
      </c>
      <c r="I261">
        <v>499</v>
      </c>
      <c r="J261">
        <v>0.2</v>
      </c>
      <c r="K261">
        <v>1409.84</v>
      </c>
      <c r="L261" t="s">
        <v>67</v>
      </c>
    </row>
    <row r="262" spans="1:12" x14ac:dyDescent="0.3">
      <c r="A262" t="s">
        <v>509</v>
      </c>
      <c r="B262" t="s">
        <v>482</v>
      </c>
      <c r="C262" t="s">
        <v>82</v>
      </c>
      <c r="D262" t="s">
        <v>23</v>
      </c>
      <c r="E262" t="s">
        <v>38</v>
      </c>
      <c r="F262" t="s">
        <v>17</v>
      </c>
      <c r="G262" t="s">
        <v>86</v>
      </c>
      <c r="H262">
        <v>3</v>
      </c>
      <c r="I262">
        <v>55</v>
      </c>
      <c r="J262">
        <v>0</v>
      </c>
      <c r="K262">
        <v>99.03</v>
      </c>
      <c r="L262" t="s">
        <v>44</v>
      </c>
    </row>
    <row r="263" spans="1:12" x14ac:dyDescent="0.3">
      <c r="A263" t="s">
        <v>510</v>
      </c>
      <c r="B263" t="s">
        <v>511</v>
      </c>
      <c r="C263" t="s">
        <v>63</v>
      </c>
      <c r="D263" t="s">
        <v>23</v>
      </c>
      <c r="E263" t="s">
        <v>24</v>
      </c>
      <c r="F263" t="s">
        <v>17</v>
      </c>
      <c r="G263" t="s">
        <v>113</v>
      </c>
      <c r="H263">
        <v>4</v>
      </c>
      <c r="I263">
        <v>180</v>
      </c>
      <c r="J263">
        <v>0.15</v>
      </c>
      <c r="K263">
        <v>524.26</v>
      </c>
      <c r="L263" t="s">
        <v>34</v>
      </c>
    </row>
    <row r="264" spans="1:12" x14ac:dyDescent="0.3">
      <c r="A264" t="s">
        <v>512</v>
      </c>
      <c r="B264" t="s">
        <v>513</v>
      </c>
      <c r="C264" t="s">
        <v>14</v>
      </c>
      <c r="D264" t="s">
        <v>15</v>
      </c>
      <c r="E264" t="s">
        <v>38</v>
      </c>
      <c r="F264" t="s">
        <v>25</v>
      </c>
      <c r="G264" t="s">
        <v>250</v>
      </c>
      <c r="H264">
        <v>6</v>
      </c>
      <c r="I264">
        <v>299</v>
      </c>
      <c r="J264">
        <v>0.2</v>
      </c>
      <c r="K264">
        <v>1191.1600000000001</v>
      </c>
      <c r="L264" t="s">
        <v>44</v>
      </c>
    </row>
    <row r="265" spans="1:12" x14ac:dyDescent="0.3">
      <c r="A265" t="s">
        <v>514</v>
      </c>
      <c r="B265" t="s">
        <v>515</v>
      </c>
      <c r="C265" t="s">
        <v>43</v>
      </c>
      <c r="D265" t="s">
        <v>23</v>
      </c>
      <c r="E265" t="s">
        <v>16</v>
      </c>
      <c r="F265" t="s">
        <v>39</v>
      </c>
      <c r="G265" t="s">
        <v>106</v>
      </c>
      <c r="H265">
        <v>6</v>
      </c>
      <c r="I265">
        <v>999</v>
      </c>
      <c r="J265">
        <v>0.2</v>
      </c>
      <c r="K265">
        <v>5000.1000000000004</v>
      </c>
      <c r="L265" t="s">
        <v>34</v>
      </c>
    </row>
    <row r="266" spans="1:12" x14ac:dyDescent="0.3">
      <c r="A266" t="s">
        <v>516</v>
      </c>
      <c r="B266" t="s">
        <v>517</v>
      </c>
      <c r="C266" t="s">
        <v>43</v>
      </c>
      <c r="D266" t="s">
        <v>15</v>
      </c>
      <c r="E266" t="s">
        <v>59</v>
      </c>
      <c r="F266" t="s">
        <v>17</v>
      </c>
      <c r="G266" t="s">
        <v>113</v>
      </c>
      <c r="H266">
        <v>8</v>
      </c>
      <c r="I266">
        <v>180</v>
      </c>
      <c r="J266">
        <v>0.2</v>
      </c>
      <c r="K266">
        <v>1129.81</v>
      </c>
      <c r="L266" t="s">
        <v>44</v>
      </c>
    </row>
    <row r="267" spans="1:12" x14ac:dyDescent="0.3">
      <c r="A267" t="s">
        <v>518</v>
      </c>
      <c r="B267" t="s">
        <v>457</v>
      </c>
      <c r="C267" t="s">
        <v>63</v>
      </c>
      <c r="D267" t="s">
        <v>23</v>
      </c>
      <c r="E267" t="s">
        <v>38</v>
      </c>
      <c r="F267" t="s">
        <v>25</v>
      </c>
      <c r="G267" t="s">
        <v>70</v>
      </c>
      <c r="H267">
        <v>4</v>
      </c>
      <c r="I267">
        <v>1299</v>
      </c>
      <c r="J267">
        <v>0.2</v>
      </c>
      <c r="K267">
        <v>4412.34</v>
      </c>
      <c r="L267" t="s">
        <v>34</v>
      </c>
    </row>
    <row r="268" spans="1:12" x14ac:dyDescent="0.3">
      <c r="A268" t="s">
        <v>519</v>
      </c>
      <c r="B268" t="s">
        <v>254</v>
      </c>
      <c r="C268" t="s">
        <v>76</v>
      </c>
      <c r="D268" t="s">
        <v>15</v>
      </c>
      <c r="F268" t="s">
        <v>32</v>
      </c>
      <c r="G268" t="s">
        <v>60</v>
      </c>
      <c r="H268">
        <v>8</v>
      </c>
      <c r="I268">
        <v>1299</v>
      </c>
      <c r="J268">
        <v>0.1</v>
      </c>
      <c r="K268">
        <v>8307.2000000000007</v>
      </c>
      <c r="L268" t="s">
        <v>27</v>
      </c>
    </row>
    <row r="269" spans="1:12" x14ac:dyDescent="0.3">
      <c r="A269" t="s">
        <v>520</v>
      </c>
      <c r="B269" t="s">
        <v>521</v>
      </c>
      <c r="C269" t="s">
        <v>73</v>
      </c>
      <c r="D269" t="s">
        <v>15</v>
      </c>
      <c r="E269" t="s">
        <v>16</v>
      </c>
      <c r="F269" t="s">
        <v>17</v>
      </c>
      <c r="G269" t="s">
        <v>18</v>
      </c>
      <c r="H269">
        <v>5</v>
      </c>
      <c r="I269">
        <v>420</v>
      </c>
      <c r="J269">
        <v>0.05</v>
      </c>
      <c r="K269">
        <v>1605.6</v>
      </c>
      <c r="L269" t="s">
        <v>67</v>
      </c>
    </row>
    <row r="270" spans="1:12" x14ac:dyDescent="0.3">
      <c r="A270" t="s">
        <v>522</v>
      </c>
      <c r="B270" t="s">
        <v>117</v>
      </c>
      <c r="C270" t="s">
        <v>73</v>
      </c>
      <c r="D270" t="s">
        <v>23</v>
      </c>
      <c r="E270" t="s">
        <v>47</v>
      </c>
      <c r="F270" t="s">
        <v>32</v>
      </c>
      <c r="G270" t="s">
        <v>33</v>
      </c>
      <c r="H270">
        <v>7</v>
      </c>
      <c r="I270">
        <v>1499</v>
      </c>
      <c r="J270">
        <v>0.2</v>
      </c>
      <c r="K270">
        <v>5886.88</v>
      </c>
      <c r="L270" t="s">
        <v>44</v>
      </c>
    </row>
    <row r="271" spans="1:12" x14ac:dyDescent="0.3">
      <c r="A271" t="s">
        <v>523</v>
      </c>
      <c r="B271" t="s">
        <v>53</v>
      </c>
      <c r="C271" t="s">
        <v>76</v>
      </c>
      <c r="D271" t="s">
        <v>15</v>
      </c>
      <c r="E271" t="s">
        <v>24</v>
      </c>
      <c r="F271" t="s">
        <v>39</v>
      </c>
      <c r="G271" t="s">
        <v>106</v>
      </c>
      <c r="H271">
        <v>3</v>
      </c>
      <c r="I271">
        <v>999</v>
      </c>
      <c r="J271">
        <v>0.2</v>
      </c>
      <c r="K271">
        <v>1688.18</v>
      </c>
      <c r="L271" t="s">
        <v>67</v>
      </c>
    </row>
    <row r="272" spans="1:12" x14ac:dyDescent="0.3">
      <c r="A272" t="s">
        <v>524</v>
      </c>
      <c r="B272" t="s">
        <v>418</v>
      </c>
      <c r="C272" t="s">
        <v>37</v>
      </c>
      <c r="D272" t="s">
        <v>15</v>
      </c>
      <c r="E272" t="s">
        <v>24</v>
      </c>
      <c r="F272" t="s">
        <v>25</v>
      </c>
      <c r="G272" t="s">
        <v>56</v>
      </c>
      <c r="H272">
        <v>4</v>
      </c>
      <c r="I272">
        <v>1499</v>
      </c>
      <c r="J272">
        <v>0.2</v>
      </c>
      <c r="K272">
        <v>4641.24</v>
      </c>
      <c r="L272" t="s">
        <v>19</v>
      </c>
    </row>
    <row r="273" spans="1:12" x14ac:dyDescent="0.3">
      <c r="A273" t="s">
        <v>525</v>
      </c>
      <c r="B273" t="s">
        <v>526</v>
      </c>
      <c r="C273" t="s">
        <v>22</v>
      </c>
      <c r="D273" t="s">
        <v>15</v>
      </c>
      <c r="E273" t="s">
        <v>59</v>
      </c>
      <c r="F273" t="s">
        <v>17</v>
      </c>
      <c r="G273" t="s">
        <v>86</v>
      </c>
      <c r="H273">
        <v>8</v>
      </c>
      <c r="I273">
        <v>55</v>
      </c>
      <c r="J273">
        <v>0.2</v>
      </c>
      <c r="K273">
        <v>333.14</v>
      </c>
      <c r="L273" t="s">
        <v>34</v>
      </c>
    </row>
    <row r="274" spans="1:12" x14ac:dyDescent="0.3">
      <c r="A274" t="s">
        <v>527</v>
      </c>
      <c r="B274" t="s">
        <v>239</v>
      </c>
      <c r="C274" t="s">
        <v>92</v>
      </c>
      <c r="D274" t="s">
        <v>23</v>
      </c>
      <c r="E274" t="s">
        <v>24</v>
      </c>
      <c r="F274" t="s">
        <v>17</v>
      </c>
      <c r="G274" t="s">
        <v>86</v>
      </c>
      <c r="H274">
        <v>2</v>
      </c>
      <c r="I274">
        <v>55</v>
      </c>
      <c r="J274">
        <v>0</v>
      </c>
      <c r="K274">
        <v>87.93</v>
      </c>
      <c r="L274" t="s">
        <v>34</v>
      </c>
    </row>
    <row r="275" spans="1:12" x14ac:dyDescent="0.3">
      <c r="A275" t="s">
        <v>528</v>
      </c>
      <c r="B275" t="s">
        <v>223</v>
      </c>
      <c r="C275" t="s">
        <v>63</v>
      </c>
      <c r="D275" t="s">
        <v>23</v>
      </c>
      <c r="E275" t="s">
        <v>59</v>
      </c>
      <c r="F275" t="s">
        <v>39</v>
      </c>
      <c r="G275" t="s">
        <v>210</v>
      </c>
      <c r="H275">
        <v>8</v>
      </c>
      <c r="I275">
        <v>1999</v>
      </c>
      <c r="J275">
        <v>0.1</v>
      </c>
      <c r="K275">
        <v>11080.04</v>
      </c>
      <c r="L275" t="s">
        <v>67</v>
      </c>
    </row>
    <row r="276" spans="1:12" x14ac:dyDescent="0.3">
      <c r="A276" t="s">
        <v>529</v>
      </c>
      <c r="B276" t="s">
        <v>530</v>
      </c>
      <c r="C276" t="s">
        <v>73</v>
      </c>
      <c r="D276" t="s">
        <v>23</v>
      </c>
      <c r="E276" t="s">
        <v>24</v>
      </c>
      <c r="F276" t="s">
        <v>17</v>
      </c>
      <c r="G276" t="s">
        <v>89</v>
      </c>
      <c r="H276">
        <v>2</v>
      </c>
      <c r="I276">
        <v>650</v>
      </c>
      <c r="J276">
        <v>0</v>
      </c>
      <c r="K276">
        <v>1046.18</v>
      </c>
      <c r="L276" t="s">
        <v>27</v>
      </c>
    </row>
    <row r="277" spans="1:12" x14ac:dyDescent="0.3">
      <c r="A277" t="s">
        <v>531</v>
      </c>
      <c r="B277" t="s">
        <v>269</v>
      </c>
      <c r="C277" t="s">
        <v>82</v>
      </c>
      <c r="D277" t="s">
        <v>15</v>
      </c>
      <c r="E277" t="s">
        <v>47</v>
      </c>
      <c r="F277" t="s">
        <v>39</v>
      </c>
      <c r="G277" t="s">
        <v>210</v>
      </c>
      <c r="H277">
        <v>3</v>
      </c>
      <c r="I277">
        <v>1999</v>
      </c>
      <c r="J277">
        <v>0.1</v>
      </c>
      <c r="K277">
        <v>4305.57</v>
      </c>
      <c r="L277" t="s">
        <v>67</v>
      </c>
    </row>
    <row r="278" spans="1:12" x14ac:dyDescent="0.3">
      <c r="A278" t="s">
        <v>532</v>
      </c>
      <c r="B278" t="s">
        <v>533</v>
      </c>
      <c r="C278" t="s">
        <v>37</v>
      </c>
      <c r="D278" t="s">
        <v>15</v>
      </c>
      <c r="E278" t="s">
        <v>31</v>
      </c>
      <c r="F278" t="s">
        <v>32</v>
      </c>
      <c r="G278" t="s">
        <v>97</v>
      </c>
      <c r="H278">
        <v>1</v>
      </c>
      <c r="I278">
        <v>899</v>
      </c>
      <c r="J278">
        <v>0.2</v>
      </c>
      <c r="K278">
        <v>732.62</v>
      </c>
      <c r="L278" t="s">
        <v>67</v>
      </c>
    </row>
    <row r="279" spans="1:12" x14ac:dyDescent="0.3">
      <c r="A279" t="s">
        <v>534</v>
      </c>
      <c r="B279" t="s">
        <v>170</v>
      </c>
      <c r="C279" t="s">
        <v>37</v>
      </c>
      <c r="D279" t="s">
        <v>23</v>
      </c>
      <c r="E279" t="s">
        <v>24</v>
      </c>
      <c r="F279" t="s">
        <v>39</v>
      </c>
      <c r="G279" t="s">
        <v>40</v>
      </c>
      <c r="H279">
        <v>5</v>
      </c>
      <c r="I279">
        <v>1599</v>
      </c>
      <c r="J279">
        <v>0</v>
      </c>
      <c r="K279">
        <v>5782.02</v>
      </c>
      <c r="L279" t="s">
        <v>19</v>
      </c>
    </row>
    <row r="280" spans="1:12" x14ac:dyDescent="0.3">
      <c r="A280" t="s">
        <v>535</v>
      </c>
      <c r="B280" t="s">
        <v>110</v>
      </c>
      <c r="C280" t="s">
        <v>43</v>
      </c>
      <c r="D280" t="s">
        <v>23</v>
      </c>
      <c r="E280" t="s">
        <v>31</v>
      </c>
      <c r="F280" t="s">
        <v>32</v>
      </c>
      <c r="G280" t="s">
        <v>103</v>
      </c>
      <c r="H280">
        <v>5</v>
      </c>
      <c r="I280">
        <v>499</v>
      </c>
      <c r="J280">
        <v>0.15</v>
      </c>
      <c r="K280">
        <v>1767.24</v>
      </c>
      <c r="L280" t="s">
        <v>44</v>
      </c>
    </row>
    <row r="281" spans="1:12" x14ac:dyDescent="0.3">
      <c r="A281" t="s">
        <v>536</v>
      </c>
      <c r="B281" t="s">
        <v>199</v>
      </c>
      <c r="C281" t="s">
        <v>37</v>
      </c>
      <c r="D281" t="s">
        <v>23</v>
      </c>
      <c r="E281" t="s">
        <v>47</v>
      </c>
      <c r="F281" t="s">
        <v>25</v>
      </c>
      <c r="G281" t="s">
        <v>56</v>
      </c>
      <c r="H281">
        <v>6</v>
      </c>
      <c r="I281">
        <v>1499</v>
      </c>
      <c r="J281">
        <v>0.15</v>
      </c>
      <c r="K281">
        <v>6612.47</v>
      </c>
      <c r="L281" t="s">
        <v>44</v>
      </c>
    </row>
    <row r="282" spans="1:12" x14ac:dyDescent="0.3">
      <c r="A282" t="s">
        <v>537</v>
      </c>
      <c r="B282" t="s">
        <v>300</v>
      </c>
      <c r="C282" t="s">
        <v>22</v>
      </c>
      <c r="D282" t="s">
        <v>15</v>
      </c>
      <c r="E282" t="s">
        <v>16</v>
      </c>
      <c r="F282" t="s">
        <v>39</v>
      </c>
      <c r="G282" t="s">
        <v>106</v>
      </c>
      <c r="H282">
        <v>2</v>
      </c>
      <c r="I282">
        <v>999</v>
      </c>
      <c r="J282">
        <v>0.05</v>
      </c>
      <c r="K282">
        <v>1281.94</v>
      </c>
      <c r="L282" t="s">
        <v>34</v>
      </c>
    </row>
    <row r="283" spans="1:12" x14ac:dyDescent="0.3">
      <c r="A283" t="s">
        <v>538</v>
      </c>
      <c r="B283" t="s">
        <v>351</v>
      </c>
      <c r="C283" t="s">
        <v>82</v>
      </c>
      <c r="D283" t="s">
        <v>23</v>
      </c>
      <c r="E283" t="s">
        <v>59</v>
      </c>
      <c r="F283" t="s">
        <v>39</v>
      </c>
      <c r="G283" t="s">
        <v>210</v>
      </c>
      <c r="H283">
        <v>7</v>
      </c>
      <c r="I283">
        <v>1999</v>
      </c>
      <c r="J283">
        <v>0.15</v>
      </c>
      <c r="K283">
        <v>8475.93</v>
      </c>
      <c r="L283" t="s">
        <v>19</v>
      </c>
    </row>
    <row r="284" spans="1:12" x14ac:dyDescent="0.3">
      <c r="A284" t="s">
        <v>539</v>
      </c>
      <c r="B284" t="s">
        <v>162</v>
      </c>
      <c r="C284" t="s">
        <v>82</v>
      </c>
      <c r="D284" t="s">
        <v>15</v>
      </c>
      <c r="E284" t="s">
        <v>59</v>
      </c>
      <c r="F284" t="s">
        <v>17</v>
      </c>
      <c r="G284" t="s">
        <v>18</v>
      </c>
      <c r="H284">
        <v>3</v>
      </c>
      <c r="I284">
        <v>420</v>
      </c>
      <c r="J284">
        <v>0.1</v>
      </c>
      <c r="K284">
        <v>1011.27</v>
      </c>
      <c r="L284" t="s">
        <v>19</v>
      </c>
    </row>
    <row r="285" spans="1:12" x14ac:dyDescent="0.3">
      <c r="A285" t="s">
        <v>540</v>
      </c>
      <c r="B285" t="s">
        <v>541</v>
      </c>
      <c r="C285" t="s">
        <v>43</v>
      </c>
      <c r="D285" t="s">
        <v>15</v>
      </c>
      <c r="E285" t="s">
        <v>59</v>
      </c>
      <c r="F285" t="s">
        <v>39</v>
      </c>
      <c r="G285" t="s">
        <v>40</v>
      </c>
      <c r="H285">
        <v>7</v>
      </c>
      <c r="I285">
        <v>1599</v>
      </c>
      <c r="J285">
        <v>0.2</v>
      </c>
      <c r="K285">
        <v>7853.36</v>
      </c>
      <c r="L285" t="s">
        <v>67</v>
      </c>
    </row>
    <row r="286" spans="1:12" x14ac:dyDescent="0.3">
      <c r="A286" t="s">
        <v>542</v>
      </c>
      <c r="B286" t="s">
        <v>521</v>
      </c>
      <c r="C286" t="s">
        <v>73</v>
      </c>
      <c r="D286" t="s">
        <v>23</v>
      </c>
      <c r="E286" t="s">
        <v>16</v>
      </c>
      <c r="F286" t="s">
        <v>32</v>
      </c>
      <c r="G286" t="s">
        <v>97</v>
      </c>
      <c r="H286">
        <v>3</v>
      </c>
      <c r="I286">
        <v>899</v>
      </c>
      <c r="J286">
        <v>0</v>
      </c>
      <c r="K286">
        <v>1940.81</v>
      </c>
      <c r="L286" t="s">
        <v>34</v>
      </c>
    </row>
    <row r="287" spans="1:12" x14ac:dyDescent="0.3">
      <c r="A287" t="s">
        <v>543</v>
      </c>
      <c r="B287" t="s">
        <v>358</v>
      </c>
      <c r="C287" t="s">
        <v>92</v>
      </c>
      <c r="D287" t="s">
        <v>23</v>
      </c>
      <c r="E287" t="s">
        <v>31</v>
      </c>
      <c r="F287" t="s">
        <v>17</v>
      </c>
      <c r="G287" t="s">
        <v>18</v>
      </c>
      <c r="H287">
        <v>8</v>
      </c>
      <c r="I287">
        <v>420</v>
      </c>
      <c r="J287">
        <v>0.2</v>
      </c>
      <c r="K287">
        <v>2596.46</v>
      </c>
      <c r="L287" t="s">
        <v>67</v>
      </c>
    </row>
    <row r="288" spans="1:12" x14ac:dyDescent="0.3">
      <c r="A288" t="s">
        <v>544</v>
      </c>
      <c r="B288" t="s">
        <v>410</v>
      </c>
      <c r="C288" t="s">
        <v>76</v>
      </c>
      <c r="D288" t="s">
        <v>15</v>
      </c>
      <c r="E288" t="s">
        <v>47</v>
      </c>
      <c r="F288" t="s">
        <v>25</v>
      </c>
      <c r="G288" t="s">
        <v>56</v>
      </c>
      <c r="H288">
        <v>6</v>
      </c>
      <c r="I288">
        <v>1499</v>
      </c>
      <c r="J288">
        <v>0.2</v>
      </c>
      <c r="K288">
        <v>7166.27</v>
      </c>
      <c r="L288" t="s">
        <v>27</v>
      </c>
    </row>
    <row r="289" spans="1:12" x14ac:dyDescent="0.3">
      <c r="A289" t="s">
        <v>545</v>
      </c>
      <c r="B289" t="s">
        <v>515</v>
      </c>
      <c r="C289" t="s">
        <v>76</v>
      </c>
      <c r="D289" t="s">
        <v>15</v>
      </c>
      <c r="E289" t="s">
        <v>59</v>
      </c>
      <c r="F289" t="s">
        <v>25</v>
      </c>
      <c r="G289" t="s">
        <v>79</v>
      </c>
      <c r="H289">
        <v>5</v>
      </c>
      <c r="I289">
        <v>899</v>
      </c>
      <c r="J289">
        <v>0</v>
      </c>
      <c r="K289">
        <v>3078.71</v>
      </c>
      <c r="L289" t="s">
        <v>44</v>
      </c>
    </row>
    <row r="290" spans="1:12" x14ac:dyDescent="0.3">
      <c r="A290" t="s">
        <v>546</v>
      </c>
      <c r="B290" t="s">
        <v>21</v>
      </c>
      <c r="C290" t="s">
        <v>73</v>
      </c>
      <c r="D290" t="s">
        <v>15</v>
      </c>
      <c r="E290" t="s">
        <v>31</v>
      </c>
      <c r="F290" t="s">
        <v>39</v>
      </c>
      <c r="G290" t="s">
        <v>210</v>
      </c>
      <c r="H290">
        <v>6</v>
      </c>
      <c r="I290">
        <v>1999</v>
      </c>
      <c r="J290">
        <v>0.2</v>
      </c>
      <c r="K290">
        <v>8873.5400000000009</v>
      </c>
      <c r="L290" t="s">
        <v>34</v>
      </c>
    </row>
    <row r="291" spans="1:12" x14ac:dyDescent="0.3">
      <c r="A291" t="s">
        <v>547</v>
      </c>
      <c r="B291" t="s">
        <v>548</v>
      </c>
      <c r="C291" t="s">
        <v>82</v>
      </c>
      <c r="D291" t="s">
        <v>15</v>
      </c>
      <c r="E291" t="s">
        <v>31</v>
      </c>
      <c r="F291" t="s">
        <v>25</v>
      </c>
      <c r="G291" t="s">
        <v>70</v>
      </c>
      <c r="H291">
        <v>6</v>
      </c>
      <c r="I291">
        <v>1299</v>
      </c>
      <c r="J291">
        <v>0.2</v>
      </c>
      <c r="K291">
        <v>4943.93</v>
      </c>
      <c r="L291" t="s">
        <v>19</v>
      </c>
    </row>
    <row r="292" spans="1:12" x14ac:dyDescent="0.3">
      <c r="A292" t="s">
        <v>549</v>
      </c>
      <c r="B292" t="s">
        <v>482</v>
      </c>
      <c r="C292" t="s">
        <v>43</v>
      </c>
      <c r="D292" t="s">
        <v>23</v>
      </c>
      <c r="E292" t="s">
        <v>38</v>
      </c>
      <c r="F292" t="s">
        <v>17</v>
      </c>
      <c r="G292" t="s">
        <v>74</v>
      </c>
      <c r="H292">
        <v>2</v>
      </c>
      <c r="I292">
        <v>240</v>
      </c>
      <c r="J292">
        <v>0.05</v>
      </c>
      <c r="K292">
        <v>402.64</v>
      </c>
      <c r="L292" t="s">
        <v>67</v>
      </c>
    </row>
    <row r="293" spans="1:12" x14ac:dyDescent="0.3">
      <c r="A293" t="s">
        <v>550</v>
      </c>
      <c r="B293" t="s">
        <v>551</v>
      </c>
      <c r="C293" t="s">
        <v>63</v>
      </c>
      <c r="D293" t="s">
        <v>15</v>
      </c>
      <c r="E293" t="s">
        <v>16</v>
      </c>
      <c r="F293" t="s">
        <v>39</v>
      </c>
      <c r="G293" t="s">
        <v>40</v>
      </c>
      <c r="H293">
        <v>3</v>
      </c>
      <c r="I293">
        <v>1599</v>
      </c>
      <c r="J293">
        <v>0.1</v>
      </c>
      <c r="K293">
        <v>3830.62</v>
      </c>
      <c r="L293" t="s">
        <v>67</v>
      </c>
    </row>
    <row r="294" spans="1:12" x14ac:dyDescent="0.3">
      <c r="A294" t="s">
        <v>552</v>
      </c>
      <c r="B294" t="s">
        <v>553</v>
      </c>
      <c r="C294" t="s">
        <v>82</v>
      </c>
      <c r="D294" t="s">
        <v>23</v>
      </c>
      <c r="E294" t="s">
        <v>16</v>
      </c>
      <c r="F294" t="s">
        <v>32</v>
      </c>
      <c r="G294" t="s">
        <v>97</v>
      </c>
      <c r="H294">
        <v>8</v>
      </c>
      <c r="I294">
        <v>899</v>
      </c>
      <c r="J294">
        <v>0</v>
      </c>
      <c r="K294">
        <v>5322.72</v>
      </c>
      <c r="L294" t="s">
        <v>27</v>
      </c>
    </row>
    <row r="295" spans="1:12" x14ac:dyDescent="0.3">
      <c r="A295" t="s">
        <v>554</v>
      </c>
      <c r="B295" t="s">
        <v>555</v>
      </c>
      <c r="C295" t="s">
        <v>76</v>
      </c>
      <c r="D295" t="s">
        <v>23</v>
      </c>
      <c r="E295" t="s">
        <v>16</v>
      </c>
      <c r="F295" t="s">
        <v>17</v>
      </c>
      <c r="G295" t="s">
        <v>86</v>
      </c>
      <c r="H295">
        <v>8</v>
      </c>
      <c r="I295">
        <v>55</v>
      </c>
      <c r="J295">
        <v>0.1</v>
      </c>
      <c r="K295">
        <v>318.82</v>
      </c>
      <c r="L295" t="s">
        <v>27</v>
      </c>
    </row>
    <row r="296" spans="1:12" x14ac:dyDescent="0.3">
      <c r="A296" t="s">
        <v>556</v>
      </c>
      <c r="B296" t="s">
        <v>513</v>
      </c>
      <c r="C296" t="s">
        <v>43</v>
      </c>
      <c r="D296" t="s">
        <v>15</v>
      </c>
      <c r="E296" t="s">
        <v>47</v>
      </c>
      <c r="F296" t="s">
        <v>32</v>
      </c>
      <c r="G296" t="s">
        <v>60</v>
      </c>
      <c r="H296">
        <v>7</v>
      </c>
      <c r="I296">
        <v>1299</v>
      </c>
      <c r="J296">
        <v>0.05</v>
      </c>
      <c r="K296">
        <v>6350.68</v>
      </c>
      <c r="L296" t="s">
        <v>44</v>
      </c>
    </row>
    <row r="297" spans="1:12" x14ac:dyDescent="0.3">
      <c r="A297" t="s">
        <v>557</v>
      </c>
      <c r="B297" t="s">
        <v>119</v>
      </c>
      <c r="C297" t="s">
        <v>43</v>
      </c>
      <c r="D297" t="s">
        <v>15</v>
      </c>
      <c r="E297" t="s">
        <v>47</v>
      </c>
      <c r="F297" t="s">
        <v>32</v>
      </c>
      <c r="G297" t="s">
        <v>51</v>
      </c>
      <c r="H297">
        <v>1</v>
      </c>
      <c r="I297">
        <v>699</v>
      </c>
      <c r="J297">
        <v>0</v>
      </c>
      <c r="K297">
        <v>405.33</v>
      </c>
      <c r="L297" t="s">
        <v>67</v>
      </c>
    </row>
    <row r="298" spans="1:12" x14ac:dyDescent="0.3">
      <c r="A298" t="s">
        <v>558</v>
      </c>
      <c r="B298" t="s">
        <v>486</v>
      </c>
      <c r="C298" t="s">
        <v>14</v>
      </c>
      <c r="D298" t="s">
        <v>15</v>
      </c>
      <c r="E298" t="s">
        <v>59</v>
      </c>
      <c r="F298" t="s">
        <v>32</v>
      </c>
      <c r="G298" t="s">
        <v>103</v>
      </c>
      <c r="H298">
        <v>7</v>
      </c>
      <c r="I298">
        <v>499</v>
      </c>
      <c r="J298">
        <v>0.05</v>
      </c>
      <c r="K298">
        <v>2964.54</v>
      </c>
      <c r="L298" t="s">
        <v>34</v>
      </c>
    </row>
    <row r="299" spans="1:12" x14ac:dyDescent="0.3">
      <c r="A299" t="s">
        <v>559</v>
      </c>
      <c r="B299" t="s">
        <v>560</v>
      </c>
      <c r="C299" t="s">
        <v>63</v>
      </c>
      <c r="D299" t="s">
        <v>15</v>
      </c>
      <c r="E299" t="s">
        <v>38</v>
      </c>
      <c r="F299" t="s">
        <v>25</v>
      </c>
      <c r="G299" t="s">
        <v>56</v>
      </c>
      <c r="H299">
        <v>5</v>
      </c>
      <c r="I299">
        <v>1499</v>
      </c>
      <c r="J299">
        <v>0</v>
      </c>
      <c r="K299">
        <v>4958.34</v>
      </c>
      <c r="L299" t="s">
        <v>34</v>
      </c>
    </row>
    <row r="300" spans="1:12" x14ac:dyDescent="0.3">
      <c r="A300" t="s">
        <v>561</v>
      </c>
      <c r="B300" t="s">
        <v>229</v>
      </c>
      <c r="C300" t="s">
        <v>37</v>
      </c>
      <c r="D300" t="s">
        <v>23</v>
      </c>
      <c r="E300" t="s">
        <v>16</v>
      </c>
      <c r="F300" t="s">
        <v>39</v>
      </c>
      <c r="G300" t="s">
        <v>66</v>
      </c>
      <c r="H300">
        <v>2</v>
      </c>
      <c r="I300">
        <v>1199</v>
      </c>
      <c r="J300">
        <v>0</v>
      </c>
      <c r="K300">
        <v>1319.68</v>
      </c>
      <c r="L300" t="s">
        <v>67</v>
      </c>
    </row>
    <row r="301" spans="1:12" x14ac:dyDescent="0.3">
      <c r="A301" t="s">
        <v>562</v>
      </c>
      <c r="B301" t="s">
        <v>321</v>
      </c>
      <c r="C301" t="s">
        <v>82</v>
      </c>
      <c r="D301" t="s">
        <v>15</v>
      </c>
      <c r="E301" t="s">
        <v>47</v>
      </c>
      <c r="F301" t="s">
        <v>32</v>
      </c>
      <c r="G301" t="s">
        <v>103</v>
      </c>
      <c r="H301">
        <v>1</v>
      </c>
      <c r="I301">
        <v>499</v>
      </c>
      <c r="J301">
        <v>0.1</v>
      </c>
      <c r="K301">
        <v>396.77</v>
      </c>
      <c r="L301" t="s">
        <v>67</v>
      </c>
    </row>
    <row r="302" spans="1:12" x14ac:dyDescent="0.3">
      <c r="A302" t="s">
        <v>563</v>
      </c>
      <c r="B302" t="s">
        <v>162</v>
      </c>
      <c r="C302" t="s">
        <v>82</v>
      </c>
      <c r="D302" t="s">
        <v>23</v>
      </c>
      <c r="E302" t="s">
        <v>24</v>
      </c>
      <c r="F302" t="s">
        <v>39</v>
      </c>
      <c r="G302" t="s">
        <v>66</v>
      </c>
      <c r="H302">
        <v>2</v>
      </c>
      <c r="I302">
        <v>1199</v>
      </c>
      <c r="J302">
        <v>0</v>
      </c>
      <c r="K302">
        <v>1393.14</v>
      </c>
      <c r="L302" t="s">
        <v>44</v>
      </c>
    </row>
    <row r="303" spans="1:12" x14ac:dyDescent="0.3">
      <c r="A303" t="s">
        <v>564</v>
      </c>
      <c r="B303" t="s">
        <v>416</v>
      </c>
      <c r="C303" t="s">
        <v>82</v>
      </c>
      <c r="D303" t="s">
        <v>23</v>
      </c>
      <c r="E303" t="s">
        <v>31</v>
      </c>
      <c r="F303" t="s">
        <v>39</v>
      </c>
      <c r="G303" t="s">
        <v>48</v>
      </c>
      <c r="H303">
        <v>1</v>
      </c>
      <c r="I303">
        <v>799</v>
      </c>
      <c r="J303">
        <v>0.2</v>
      </c>
      <c r="K303">
        <v>595.26</v>
      </c>
      <c r="L303" t="s">
        <v>67</v>
      </c>
    </row>
    <row r="304" spans="1:12" x14ac:dyDescent="0.3">
      <c r="A304" t="s">
        <v>565</v>
      </c>
      <c r="B304" t="s">
        <v>566</v>
      </c>
      <c r="C304" t="s">
        <v>30</v>
      </c>
      <c r="D304" t="s">
        <v>15</v>
      </c>
      <c r="E304" t="s">
        <v>59</v>
      </c>
      <c r="F304" t="s">
        <v>32</v>
      </c>
      <c r="G304" t="s">
        <v>60</v>
      </c>
      <c r="H304">
        <v>2</v>
      </c>
      <c r="I304">
        <v>1299</v>
      </c>
      <c r="J304">
        <v>0</v>
      </c>
      <c r="K304">
        <v>1538.03</v>
      </c>
      <c r="L304" t="s">
        <v>27</v>
      </c>
    </row>
    <row r="305" spans="1:12" x14ac:dyDescent="0.3">
      <c r="A305" t="s">
        <v>567</v>
      </c>
      <c r="B305" t="s">
        <v>284</v>
      </c>
      <c r="C305" t="s">
        <v>37</v>
      </c>
      <c r="D305" t="s">
        <v>23</v>
      </c>
      <c r="E305" t="s">
        <v>59</v>
      </c>
      <c r="F305" t="s">
        <v>17</v>
      </c>
      <c r="G305" t="s">
        <v>18</v>
      </c>
      <c r="H305">
        <v>4</v>
      </c>
      <c r="I305">
        <v>420</v>
      </c>
      <c r="J305">
        <v>0.1</v>
      </c>
      <c r="K305">
        <v>1248.8900000000001</v>
      </c>
      <c r="L305" t="s">
        <v>34</v>
      </c>
    </row>
    <row r="306" spans="1:12" x14ac:dyDescent="0.3">
      <c r="A306" t="s">
        <v>568</v>
      </c>
      <c r="B306" t="s">
        <v>145</v>
      </c>
      <c r="C306" t="s">
        <v>22</v>
      </c>
      <c r="D306" t="s">
        <v>23</v>
      </c>
      <c r="E306" t="s">
        <v>16</v>
      </c>
      <c r="F306" t="s">
        <v>25</v>
      </c>
      <c r="G306" t="s">
        <v>56</v>
      </c>
      <c r="H306">
        <v>4</v>
      </c>
      <c r="I306">
        <v>1499</v>
      </c>
      <c r="J306">
        <v>0.2</v>
      </c>
      <c r="K306">
        <v>4389.54</v>
      </c>
      <c r="L306" t="s">
        <v>34</v>
      </c>
    </row>
    <row r="307" spans="1:12" x14ac:dyDescent="0.3">
      <c r="A307" t="s">
        <v>569</v>
      </c>
      <c r="B307" t="s">
        <v>570</v>
      </c>
      <c r="C307" t="s">
        <v>63</v>
      </c>
      <c r="D307" t="s">
        <v>15</v>
      </c>
      <c r="E307" t="s">
        <v>31</v>
      </c>
      <c r="F307" t="s">
        <v>32</v>
      </c>
      <c r="G307" t="s">
        <v>97</v>
      </c>
      <c r="H307">
        <v>2</v>
      </c>
      <c r="I307">
        <v>899</v>
      </c>
      <c r="J307">
        <v>0.05</v>
      </c>
      <c r="K307">
        <v>1258.3699999999999</v>
      </c>
      <c r="L307" t="s">
        <v>19</v>
      </c>
    </row>
    <row r="308" spans="1:12" x14ac:dyDescent="0.3">
      <c r="A308" t="s">
        <v>571</v>
      </c>
      <c r="B308" t="s">
        <v>214</v>
      </c>
      <c r="C308" t="s">
        <v>76</v>
      </c>
      <c r="D308" t="s">
        <v>15</v>
      </c>
      <c r="E308" t="s">
        <v>38</v>
      </c>
      <c r="F308" t="s">
        <v>17</v>
      </c>
      <c r="G308" t="s">
        <v>18</v>
      </c>
      <c r="H308">
        <v>7</v>
      </c>
      <c r="I308">
        <v>420</v>
      </c>
      <c r="J308">
        <v>0.2</v>
      </c>
      <c r="K308">
        <v>1988.2</v>
      </c>
      <c r="L308" t="s">
        <v>19</v>
      </c>
    </row>
    <row r="309" spans="1:12" x14ac:dyDescent="0.3">
      <c r="A309" t="s">
        <v>572</v>
      </c>
      <c r="B309" t="s">
        <v>254</v>
      </c>
      <c r="C309" t="s">
        <v>82</v>
      </c>
      <c r="D309" t="s">
        <v>23</v>
      </c>
      <c r="E309" t="s">
        <v>24</v>
      </c>
      <c r="F309" t="s">
        <v>25</v>
      </c>
      <c r="G309" t="s">
        <v>70</v>
      </c>
      <c r="H309">
        <v>2</v>
      </c>
      <c r="I309">
        <v>1299</v>
      </c>
      <c r="J309">
        <v>0</v>
      </c>
      <c r="K309">
        <v>1633.25</v>
      </c>
      <c r="L309" t="s">
        <v>27</v>
      </c>
    </row>
    <row r="310" spans="1:12" x14ac:dyDescent="0.3">
      <c r="A310" t="s">
        <v>573</v>
      </c>
      <c r="B310" t="s">
        <v>551</v>
      </c>
      <c r="C310" t="s">
        <v>37</v>
      </c>
      <c r="D310" t="s">
        <v>23</v>
      </c>
      <c r="E310" t="s">
        <v>16</v>
      </c>
      <c r="F310" t="s">
        <v>32</v>
      </c>
      <c r="G310" t="s">
        <v>97</v>
      </c>
      <c r="H310">
        <v>7</v>
      </c>
      <c r="I310">
        <v>899</v>
      </c>
      <c r="J310">
        <v>0</v>
      </c>
      <c r="K310">
        <v>4670.42</v>
      </c>
      <c r="L310" t="s">
        <v>19</v>
      </c>
    </row>
    <row r="311" spans="1:12" x14ac:dyDescent="0.3">
      <c r="A311" t="s">
        <v>574</v>
      </c>
      <c r="B311" t="s">
        <v>548</v>
      </c>
      <c r="C311" t="s">
        <v>82</v>
      </c>
      <c r="D311" t="s">
        <v>23</v>
      </c>
      <c r="E311" t="s">
        <v>24</v>
      </c>
      <c r="F311" t="s">
        <v>17</v>
      </c>
      <c r="G311" t="s">
        <v>89</v>
      </c>
      <c r="H311">
        <v>4</v>
      </c>
      <c r="I311">
        <v>650</v>
      </c>
      <c r="J311">
        <v>0.05</v>
      </c>
      <c r="K311">
        <v>1848.38</v>
      </c>
      <c r="L311" t="s">
        <v>67</v>
      </c>
    </row>
    <row r="312" spans="1:12" x14ac:dyDescent="0.3">
      <c r="A312" t="s">
        <v>575</v>
      </c>
      <c r="B312" t="s">
        <v>576</v>
      </c>
      <c r="C312" t="s">
        <v>14</v>
      </c>
      <c r="D312" t="s">
        <v>23</v>
      </c>
      <c r="E312" t="s">
        <v>16</v>
      </c>
      <c r="F312" t="s">
        <v>32</v>
      </c>
      <c r="G312" t="s">
        <v>60</v>
      </c>
      <c r="H312">
        <v>1</v>
      </c>
      <c r="I312">
        <v>1299</v>
      </c>
      <c r="J312">
        <v>0.05</v>
      </c>
      <c r="K312">
        <v>748.05</v>
      </c>
      <c r="L312" t="s">
        <v>67</v>
      </c>
    </row>
    <row r="313" spans="1:12" x14ac:dyDescent="0.3">
      <c r="A313" t="s">
        <v>577</v>
      </c>
      <c r="B313" t="s">
        <v>578</v>
      </c>
      <c r="C313" t="s">
        <v>73</v>
      </c>
      <c r="D313" t="s">
        <v>15</v>
      </c>
      <c r="E313" t="s">
        <v>38</v>
      </c>
      <c r="F313" t="s">
        <v>39</v>
      </c>
      <c r="G313" t="s">
        <v>48</v>
      </c>
      <c r="H313">
        <v>1</v>
      </c>
      <c r="I313">
        <v>799</v>
      </c>
      <c r="J313">
        <v>0.05</v>
      </c>
      <c r="K313">
        <v>607.6</v>
      </c>
      <c r="L313" t="s">
        <v>34</v>
      </c>
    </row>
    <row r="314" spans="1:12" x14ac:dyDescent="0.3">
      <c r="A314" t="s">
        <v>579</v>
      </c>
      <c r="B314" t="s">
        <v>580</v>
      </c>
      <c r="C314" t="s">
        <v>43</v>
      </c>
      <c r="D314" t="s">
        <v>23</v>
      </c>
      <c r="E314" t="s">
        <v>31</v>
      </c>
      <c r="F314" t="s">
        <v>17</v>
      </c>
      <c r="G314" t="s">
        <v>18</v>
      </c>
      <c r="H314">
        <v>5</v>
      </c>
      <c r="I314">
        <v>420</v>
      </c>
      <c r="J314">
        <v>0</v>
      </c>
      <c r="K314">
        <v>1641</v>
      </c>
      <c r="L314" t="s">
        <v>27</v>
      </c>
    </row>
    <row r="315" spans="1:12" x14ac:dyDescent="0.3">
      <c r="A315" t="s">
        <v>581</v>
      </c>
      <c r="B315" t="s">
        <v>582</v>
      </c>
      <c r="C315" t="s">
        <v>37</v>
      </c>
      <c r="D315" t="s">
        <v>23</v>
      </c>
      <c r="E315" t="s">
        <v>47</v>
      </c>
      <c r="F315" t="s">
        <v>25</v>
      </c>
      <c r="G315" t="s">
        <v>56</v>
      </c>
      <c r="H315">
        <v>2</v>
      </c>
      <c r="I315">
        <v>1499</v>
      </c>
      <c r="J315">
        <v>0.15</v>
      </c>
      <c r="K315">
        <v>2058.3000000000002</v>
      </c>
      <c r="L315" t="s">
        <v>44</v>
      </c>
    </row>
    <row r="316" spans="1:12" x14ac:dyDescent="0.3">
      <c r="A316" t="s">
        <v>583</v>
      </c>
      <c r="B316" t="s">
        <v>584</v>
      </c>
      <c r="C316" t="s">
        <v>73</v>
      </c>
      <c r="D316" t="s">
        <v>15</v>
      </c>
      <c r="E316" t="s">
        <v>38</v>
      </c>
      <c r="F316" t="s">
        <v>39</v>
      </c>
      <c r="G316" t="s">
        <v>106</v>
      </c>
      <c r="H316">
        <v>2</v>
      </c>
      <c r="I316">
        <v>999</v>
      </c>
      <c r="J316">
        <v>0.2</v>
      </c>
      <c r="K316">
        <v>1502.97</v>
      </c>
      <c r="L316" t="s">
        <v>27</v>
      </c>
    </row>
    <row r="317" spans="1:12" x14ac:dyDescent="0.3">
      <c r="A317" t="s">
        <v>585</v>
      </c>
      <c r="B317" t="s">
        <v>249</v>
      </c>
      <c r="C317" t="s">
        <v>76</v>
      </c>
      <c r="D317" t="s">
        <v>15</v>
      </c>
      <c r="E317" t="s">
        <v>24</v>
      </c>
      <c r="F317" t="s">
        <v>25</v>
      </c>
      <c r="G317" t="s">
        <v>79</v>
      </c>
      <c r="H317">
        <v>1</v>
      </c>
      <c r="I317">
        <v>899</v>
      </c>
      <c r="J317">
        <v>0.15</v>
      </c>
      <c r="K317">
        <v>592.61</v>
      </c>
      <c r="L317" t="s">
        <v>34</v>
      </c>
    </row>
    <row r="318" spans="1:12" x14ac:dyDescent="0.3">
      <c r="A318" t="s">
        <v>586</v>
      </c>
      <c r="B318" t="s">
        <v>587</v>
      </c>
      <c r="C318" t="s">
        <v>92</v>
      </c>
      <c r="D318" t="s">
        <v>23</v>
      </c>
      <c r="E318" t="s">
        <v>31</v>
      </c>
      <c r="F318" t="s">
        <v>17</v>
      </c>
      <c r="G318" t="s">
        <v>18</v>
      </c>
      <c r="H318">
        <v>7</v>
      </c>
      <c r="I318">
        <v>420</v>
      </c>
      <c r="J318">
        <v>0.1</v>
      </c>
      <c r="K318">
        <v>1856.25</v>
      </c>
      <c r="L318" t="s">
        <v>27</v>
      </c>
    </row>
    <row r="319" spans="1:12" x14ac:dyDescent="0.3">
      <c r="A319" t="s">
        <v>588</v>
      </c>
      <c r="B319" t="s">
        <v>589</v>
      </c>
      <c r="C319" t="s">
        <v>43</v>
      </c>
      <c r="D319" t="s">
        <v>15</v>
      </c>
      <c r="E319" t="s">
        <v>47</v>
      </c>
      <c r="F319" t="s">
        <v>25</v>
      </c>
      <c r="G319" t="s">
        <v>79</v>
      </c>
      <c r="H319">
        <v>4</v>
      </c>
      <c r="I319">
        <v>899</v>
      </c>
      <c r="J319">
        <v>0.2</v>
      </c>
      <c r="K319">
        <v>3036.55</v>
      </c>
      <c r="L319" t="s">
        <v>67</v>
      </c>
    </row>
    <row r="320" spans="1:12" x14ac:dyDescent="0.3">
      <c r="A320" t="s">
        <v>590</v>
      </c>
      <c r="B320" t="s">
        <v>591</v>
      </c>
      <c r="C320" t="s">
        <v>73</v>
      </c>
      <c r="D320" t="s">
        <v>23</v>
      </c>
      <c r="E320" t="s">
        <v>38</v>
      </c>
      <c r="F320" t="s">
        <v>17</v>
      </c>
      <c r="G320" t="s">
        <v>89</v>
      </c>
      <c r="H320">
        <v>8</v>
      </c>
      <c r="I320">
        <v>650</v>
      </c>
      <c r="J320">
        <v>0</v>
      </c>
      <c r="K320">
        <v>3435.51</v>
      </c>
      <c r="L320" t="s">
        <v>44</v>
      </c>
    </row>
    <row r="321" spans="1:12" x14ac:dyDescent="0.3">
      <c r="A321" t="s">
        <v>592</v>
      </c>
      <c r="B321" t="s">
        <v>453</v>
      </c>
      <c r="C321" t="s">
        <v>63</v>
      </c>
      <c r="D321" t="s">
        <v>15</v>
      </c>
      <c r="E321" t="s">
        <v>59</v>
      </c>
      <c r="F321" t="s">
        <v>17</v>
      </c>
      <c r="G321" t="s">
        <v>74</v>
      </c>
      <c r="H321">
        <v>8</v>
      </c>
      <c r="I321">
        <v>240</v>
      </c>
      <c r="J321">
        <v>0.05</v>
      </c>
      <c r="K321">
        <v>1477.9</v>
      </c>
      <c r="L321" t="s">
        <v>19</v>
      </c>
    </row>
    <row r="322" spans="1:12" x14ac:dyDescent="0.3">
      <c r="A322" t="s">
        <v>593</v>
      </c>
      <c r="B322" t="s">
        <v>462</v>
      </c>
      <c r="C322" t="s">
        <v>82</v>
      </c>
      <c r="D322" t="s">
        <v>15</v>
      </c>
      <c r="E322" t="s">
        <v>59</v>
      </c>
      <c r="F322" t="s">
        <v>25</v>
      </c>
      <c r="G322" t="s">
        <v>79</v>
      </c>
      <c r="H322">
        <v>6</v>
      </c>
      <c r="I322">
        <v>899</v>
      </c>
      <c r="J322">
        <v>0</v>
      </c>
      <c r="K322">
        <v>4505.59</v>
      </c>
      <c r="L322" t="s">
        <v>27</v>
      </c>
    </row>
    <row r="323" spans="1:12" x14ac:dyDescent="0.3">
      <c r="A323" t="s">
        <v>594</v>
      </c>
      <c r="B323" t="s">
        <v>595</v>
      </c>
      <c r="C323" t="s">
        <v>37</v>
      </c>
      <c r="D323" t="s">
        <v>23</v>
      </c>
      <c r="E323" t="s">
        <v>24</v>
      </c>
      <c r="F323" t="s">
        <v>39</v>
      </c>
      <c r="G323" t="s">
        <v>210</v>
      </c>
      <c r="H323">
        <v>4</v>
      </c>
      <c r="I323">
        <v>1999</v>
      </c>
      <c r="J323">
        <v>0.15</v>
      </c>
      <c r="K323">
        <v>5578.08</v>
      </c>
      <c r="L323" t="s">
        <v>27</v>
      </c>
    </row>
    <row r="324" spans="1:12" x14ac:dyDescent="0.3">
      <c r="A324" t="s">
        <v>596</v>
      </c>
      <c r="B324" t="s">
        <v>597</v>
      </c>
      <c r="C324" t="s">
        <v>63</v>
      </c>
      <c r="D324" t="s">
        <v>15</v>
      </c>
      <c r="E324" t="s">
        <v>24</v>
      </c>
      <c r="F324" t="s">
        <v>39</v>
      </c>
      <c r="G324" t="s">
        <v>210</v>
      </c>
      <c r="H324">
        <v>7</v>
      </c>
      <c r="I324">
        <v>1999</v>
      </c>
      <c r="J324">
        <v>0.1</v>
      </c>
      <c r="K324">
        <v>9620.7099999999991</v>
      </c>
      <c r="L324" t="s">
        <v>27</v>
      </c>
    </row>
    <row r="325" spans="1:12" x14ac:dyDescent="0.3">
      <c r="A325" t="s">
        <v>598</v>
      </c>
      <c r="B325" t="s">
        <v>526</v>
      </c>
      <c r="C325" t="s">
        <v>14</v>
      </c>
      <c r="D325" t="s">
        <v>15</v>
      </c>
      <c r="E325" t="s">
        <v>16</v>
      </c>
      <c r="F325" t="s">
        <v>32</v>
      </c>
      <c r="G325" t="s">
        <v>103</v>
      </c>
      <c r="H325">
        <v>1</v>
      </c>
      <c r="I325">
        <v>499</v>
      </c>
      <c r="J325">
        <v>0.15</v>
      </c>
      <c r="K325">
        <v>373.62</v>
      </c>
      <c r="L325" t="s">
        <v>34</v>
      </c>
    </row>
    <row r="326" spans="1:12" x14ac:dyDescent="0.3">
      <c r="A326" t="s">
        <v>599</v>
      </c>
      <c r="B326" t="s">
        <v>600</v>
      </c>
      <c r="C326" t="s">
        <v>63</v>
      </c>
      <c r="D326" t="s">
        <v>23</v>
      </c>
      <c r="E326" t="s">
        <v>38</v>
      </c>
      <c r="F326" t="s">
        <v>32</v>
      </c>
      <c r="G326" t="s">
        <v>51</v>
      </c>
      <c r="H326">
        <v>6</v>
      </c>
      <c r="I326">
        <v>699</v>
      </c>
      <c r="J326">
        <v>0.15</v>
      </c>
      <c r="K326">
        <v>2648.87</v>
      </c>
      <c r="L326" t="s">
        <v>27</v>
      </c>
    </row>
    <row r="327" spans="1:12" x14ac:dyDescent="0.3">
      <c r="A327" t="s">
        <v>601</v>
      </c>
      <c r="B327" t="s">
        <v>602</v>
      </c>
      <c r="C327" t="s">
        <v>82</v>
      </c>
      <c r="D327" t="s">
        <v>15</v>
      </c>
      <c r="E327" t="s">
        <v>31</v>
      </c>
      <c r="F327" t="s">
        <v>25</v>
      </c>
      <c r="G327" t="s">
        <v>79</v>
      </c>
      <c r="H327">
        <v>8</v>
      </c>
      <c r="I327">
        <v>899</v>
      </c>
      <c r="J327">
        <v>0.15</v>
      </c>
      <c r="K327">
        <v>4633.16</v>
      </c>
      <c r="L327" t="s">
        <v>27</v>
      </c>
    </row>
    <row r="328" spans="1:12" x14ac:dyDescent="0.3">
      <c r="A328" t="s">
        <v>603</v>
      </c>
      <c r="B328" t="s">
        <v>604</v>
      </c>
      <c r="C328" t="s">
        <v>43</v>
      </c>
      <c r="D328" t="s">
        <v>15</v>
      </c>
      <c r="E328" t="s">
        <v>59</v>
      </c>
      <c r="F328" t="s">
        <v>17</v>
      </c>
      <c r="G328" t="s">
        <v>86</v>
      </c>
      <c r="H328">
        <v>5</v>
      </c>
      <c r="I328">
        <v>55</v>
      </c>
      <c r="J328">
        <v>0</v>
      </c>
      <c r="K328">
        <v>158.71</v>
      </c>
      <c r="L328" t="s">
        <v>44</v>
      </c>
    </row>
    <row r="329" spans="1:12" x14ac:dyDescent="0.3">
      <c r="A329" t="s">
        <v>605</v>
      </c>
      <c r="B329" t="s">
        <v>606</v>
      </c>
      <c r="C329" t="s">
        <v>22</v>
      </c>
      <c r="D329" t="s">
        <v>15</v>
      </c>
      <c r="E329" t="s">
        <v>31</v>
      </c>
      <c r="F329" t="s">
        <v>17</v>
      </c>
      <c r="G329" t="s">
        <v>18</v>
      </c>
      <c r="H329">
        <v>2</v>
      </c>
      <c r="I329">
        <v>420</v>
      </c>
      <c r="J329">
        <v>0.05</v>
      </c>
      <c r="K329">
        <v>706.04</v>
      </c>
      <c r="L329" t="s">
        <v>67</v>
      </c>
    </row>
    <row r="330" spans="1:12" x14ac:dyDescent="0.3">
      <c r="A330" t="s">
        <v>607</v>
      </c>
      <c r="B330" t="s">
        <v>608</v>
      </c>
      <c r="C330" t="s">
        <v>92</v>
      </c>
      <c r="D330" t="s">
        <v>23</v>
      </c>
      <c r="E330" t="s">
        <v>38</v>
      </c>
      <c r="F330" t="s">
        <v>39</v>
      </c>
      <c r="G330" t="s">
        <v>48</v>
      </c>
      <c r="H330">
        <v>7</v>
      </c>
      <c r="I330">
        <v>799</v>
      </c>
      <c r="J330">
        <v>0.15</v>
      </c>
      <c r="K330">
        <v>4008.98</v>
      </c>
      <c r="L330" t="s">
        <v>19</v>
      </c>
    </row>
    <row r="331" spans="1:12" x14ac:dyDescent="0.3">
      <c r="A331" t="s">
        <v>609</v>
      </c>
      <c r="B331" t="s">
        <v>610</v>
      </c>
      <c r="C331" t="s">
        <v>14</v>
      </c>
      <c r="D331" t="s">
        <v>23</v>
      </c>
      <c r="E331" t="s">
        <v>24</v>
      </c>
      <c r="F331" t="s">
        <v>39</v>
      </c>
      <c r="G331" t="s">
        <v>48</v>
      </c>
      <c r="H331">
        <v>1</v>
      </c>
      <c r="I331">
        <v>799</v>
      </c>
      <c r="J331">
        <v>0</v>
      </c>
      <c r="K331">
        <v>638.49</v>
      </c>
      <c r="L331" t="s">
        <v>34</v>
      </c>
    </row>
    <row r="332" spans="1:12" x14ac:dyDescent="0.3">
      <c r="A332" t="s">
        <v>611</v>
      </c>
      <c r="B332" t="s">
        <v>126</v>
      </c>
      <c r="C332" t="s">
        <v>30</v>
      </c>
      <c r="D332" t="s">
        <v>23</v>
      </c>
      <c r="E332" t="s">
        <v>38</v>
      </c>
      <c r="F332" t="s">
        <v>25</v>
      </c>
      <c r="G332" t="s">
        <v>70</v>
      </c>
      <c r="H332">
        <v>5</v>
      </c>
      <c r="I332">
        <v>1299</v>
      </c>
      <c r="J332">
        <v>0</v>
      </c>
      <c r="K332">
        <v>3614.73</v>
      </c>
      <c r="L332" t="s">
        <v>27</v>
      </c>
    </row>
    <row r="333" spans="1:12" x14ac:dyDescent="0.3">
      <c r="A333" t="s">
        <v>612</v>
      </c>
      <c r="B333" t="s">
        <v>613</v>
      </c>
      <c r="C333" t="s">
        <v>73</v>
      </c>
      <c r="D333" t="s">
        <v>15</v>
      </c>
      <c r="E333" t="s">
        <v>24</v>
      </c>
      <c r="F333" t="s">
        <v>17</v>
      </c>
      <c r="G333" t="s">
        <v>89</v>
      </c>
      <c r="H333">
        <v>1</v>
      </c>
      <c r="I333">
        <v>650</v>
      </c>
      <c r="J333">
        <v>0.15</v>
      </c>
      <c r="K333">
        <v>367.37</v>
      </c>
      <c r="L333" t="s">
        <v>19</v>
      </c>
    </row>
    <row r="334" spans="1:12" x14ac:dyDescent="0.3">
      <c r="A334" t="s">
        <v>614</v>
      </c>
      <c r="B334" t="s">
        <v>500</v>
      </c>
      <c r="C334" t="s">
        <v>37</v>
      </c>
      <c r="D334" t="s">
        <v>23</v>
      </c>
      <c r="E334" t="s">
        <v>24</v>
      </c>
      <c r="F334" t="s">
        <v>32</v>
      </c>
      <c r="G334" t="s">
        <v>97</v>
      </c>
      <c r="H334">
        <v>3</v>
      </c>
      <c r="I334">
        <v>899</v>
      </c>
      <c r="J334">
        <v>0.1</v>
      </c>
      <c r="K334">
        <v>1657.08</v>
      </c>
      <c r="L334" t="s">
        <v>34</v>
      </c>
    </row>
    <row r="335" spans="1:12" x14ac:dyDescent="0.3">
      <c r="A335" t="s">
        <v>615</v>
      </c>
      <c r="B335" t="s">
        <v>328</v>
      </c>
      <c r="C335" t="s">
        <v>63</v>
      </c>
      <c r="D335" t="s">
        <v>23</v>
      </c>
      <c r="E335" t="s">
        <v>31</v>
      </c>
      <c r="F335" t="s">
        <v>25</v>
      </c>
      <c r="G335" t="s">
        <v>70</v>
      </c>
      <c r="H335">
        <v>4</v>
      </c>
      <c r="I335">
        <v>1299</v>
      </c>
      <c r="J335">
        <v>0.1</v>
      </c>
      <c r="K335">
        <v>3635.47</v>
      </c>
      <c r="L335" t="s">
        <v>19</v>
      </c>
    </row>
    <row r="336" spans="1:12" x14ac:dyDescent="0.3">
      <c r="A336" t="s">
        <v>616</v>
      </c>
      <c r="B336" t="s">
        <v>517</v>
      </c>
      <c r="C336" t="s">
        <v>92</v>
      </c>
      <c r="D336" t="s">
        <v>15</v>
      </c>
      <c r="E336" t="s">
        <v>38</v>
      </c>
      <c r="F336" t="s">
        <v>32</v>
      </c>
      <c r="G336" t="s">
        <v>60</v>
      </c>
      <c r="H336">
        <v>7</v>
      </c>
      <c r="I336">
        <v>1299</v>
      </c>
      <c r="J336">
        <v>0.05</v>
      </c>
      <c r="K336">
        <v>6754.24</v>
      </c>
      <c r="L336" t="s">
        <v>19</v>
      </c>
    </row>
    <row r="337" spans="1:12" x14ac:dyDescent="0.3">
      <c r="A337" t="s">
        <v>617</v>
      </c>
      <c r="B337" t="s">
        <v>610</v>
      </c>
      <c r="C337" t="s">
        <v>76</v>
      </c>
      <c r="D337" t="s">
        <v>15</v>
      </c>
      <c r="E337" t="s">
        <v>59</v>
      </c>
      <c r="F337" t="s">
        <v>17</v>
      </c>
      <c r="G337" t="s">
        <v>86</v>
      </c>
      <c r="H337">
        <v>8</v>
      </c>
      <c r="I337">
        <v>55</v>
      </c>
      <c r="J337">
        <v>0.1</v>
      </c>
      <c r="K337">
        <v>362.47</v>
      </c>
      <c r="L337" t="s">
        <v>19</v>
      </c>
    </row>
    <row r="338" spans="1:12" x14ac:dyDescent="0.3">
      <c r="A338" t="s">
        <v>618</v>
      </c>
      <c r="B338" t="s">
        <v>619</v>
      </c>
      <c r="C338" t="s">
        <v>37</v>
      </c>
      <c r="D338" t="s">
        <v>23</v>
      </c>
      <c r="E338" t="s">
        <v>31</v>
      </c>
      <c r="F338" t="s">
        <v>25</v>
      </c>
      <c r="G338" t="s">
        <v>56</v>
      </c>
      <c r="H338">
        <v>4</v>
      </c>
      <c r="I338">
        <v>1499</v>
      </c>
      <c r="J338">
        <v>0</v>
      </c>
      <c r="K338">
        <v>4909.1000000000004</v>
      </c>
      <c r="L338" t="s">
        <v>44</v>
      </c>
    </row>
    <row r="339" spans="1:12" x14ac:dyDescent="0.3">
      <c r="A339" t="s">
        <v>620</v>
      </c>
      <c r="B339" t="s">
        <v>621</v>
      </c>
      <c r="C339" t="s">
        <v>73</v>
      </c>
      <c r="D339" t="s">
        <v>23</v>
      </c>
      <c r="E339" t="s">
        <v>47</v>
      </c>
      <c r="F339" t="s">
        <v>39</v>
      </c>
      <c r="G339" t="s">
        <v>40</v>
      </c>
      <c r="H339">
        <v>2</v>
      </c>
      <c r="I339">
        <v>1599</v>
      </c>
      <c r="J339">
        <v>0.05</v>
      </c>
      <c r="K339">
        <v>2389.1</v>
      </c>
      <c r="L339" t="s">
        <v>44</v>
      </c>
    </row>
    <row r="340" spans="1:12" x14ac:dyDescent="0.3">
      <c r="A340" t="s">
        <v>622</v>
      </c>
      <c r="B340" t="s">
        <v>623</v>
      </c>
      <c r="C340" t="s">
        <v>92</v>
      </c>
      <c r="D340" t="s">
        <v>15</v>
      </c>
      <c r="E340" t="s">
        <v>47</v>
      </c>
      <c r="F340" t="s">
        <v>32</v>
      </c>
      <c r="G340" t="s">
        <v>51</v>
      </c>
      <c r="H340">
        <v>3</v>
      </c>
      <c r="I340">
        <v>699</v>
      </c>
      <c r="J340">
        <v>0.05</v>
      </c>
      <c r="K340">
        <v>1302.1600000000001</v>
      </c>
      <c r="L340" t="s">
        <v>44</v>
      </c>
    </row>
    <row r="341" spans="1:12" x14ac:dyDescent="0.3">
      <c r="A341" t="s">
        <v>624</v>
      </c>
      <c r="B341" t="s">
        <v>36</v>
      </c>
      <c r="C341" t="s">
        <v>43</v>
      </c>
      <c r="D341" t="s">
        <v>15</v>
      </c>
      <c r="E341" t="s">
        <v>16</v>
      </c>
      <c r="F341" t="s">
        <v>17</v>
      </c>
      <c r="G341" t="s">
        <v>74</v>
      </c>
      <c r="H341">
        <v>3</v>
      </c>
      <c r="I341">
        <v>240</v>
      </c>
      <c r="J341">
        <v>0.2</v>
      </c>
      <c r="K341">
        <v>600.85</v>
      </c>
      <c r="L341" t="s">
        <v>67</v>
      </c>
    </row>
    <row r="342" spans="1:12" x14ac:dyDescent="0.3">
      <c r="A342" t="s">
        <v>625</v>
      </c>
      <c r="B342" t="s">
        <v>626</v>
      </c>
      <c r="C342" t="s">
        <v>63</v>
      </c>
      <c r="D342" t="s">
        <v>15</v>
      </c>
      <c r="E342" t="s">
        <v>59</v>
      </c>
      <c r="F342" t="s">
        <v>25</v>
      </c>
      <c r="G342" t="s">
        <v>26</v>
      </c>
      <c r="H342">
        <v>1</v>
      </c>
      <c r="I342">
        <v>599</v>
      </c>
      <c r="J342">
        <v>0.05</v>
      </c>
      <c r="K342">
        <v>437.57</v>
      </c>
      <c r="L342" t="s">
        <v>27</v>
      </c>
    </row>
    <row r="343" spans="1:12" x14ac:dyDescent="0.3">
      <c r="A343" t="s">
        <v>627</v>
      </c>
      <c r="B343" t="s">
        <v>388</v>
      </c>
      <c r="C343" t="s">
        <v>73</v>
      </c>
      <c r="D343" t="s">
        <v>15</v>
      </c>
      <c r="E343" t="s">
        <v>38</v>
      </c>
      <c r="F343" t="s">
        <v>39</v>
      </c>
      <c r="G343" t="s">
        <v>40</v>
      </c>
      <c r="H343">
        <v>6</v>
      </c>
      <c r="I343">
        <v>1599</v>
      </c>
      <c r="J343">
        <v>0.05</v>
      </c>
      <c r="K343">
        <v>7921.13</v>
      </c>
      <c r="L343" t="s">
        <v>44</v>
      </c>
    </row>
    <row r="344" spans="1:12" x14ac:dyDescent="0.3">
      <c r="A344" t="s">
        <v>628</v>
      </c>
      <c r="B344" t="s">
        <v>551</v>
      </c>
      <c r="C344" t="s">
        <v>92</v>
      </c>
      <c r="D344" t="s">
        <v>15</v>
      </c>
      <c r="E344" t="s">
        <v>47</v>
      </c>
      <c r="F344" t="s">
        <v>39</v>
      </c>
      <c r="G344" t="s">
        <v>48</v>
      </c>
      <c r="H344">
        <v>6</v>
      </c>
      <c r="I344">
        <v>799</v>
      </c>
      <c r="J344">
        <v>0</v>
      </c>
      <c r="K344">
        <v>3174</v>
      </c>
      <c r="L344" t="s">
        <v>67</v>
      </c>
    </row>
    <row r="345" spans="1:12" x14ac:dyDescent="0.3">
      <c r="A345" t="s">
        <v>629</v>
      </c>
      <c r="B345" t="s">
        <v>576</v>
      </c>
      <c r="C345" t="s">
        <v>14</v>
      </c>
      <c r="D345" t="s">
        <v>23</v>
      </c>
      <c r="E345" t="s">
        <v>38</v>
      </c>
      <c r="F345" t="s">
        <v>17</v>
      </c>
      <c r="G345" t="s">
        <v>18</v>
      </c>
      <c r="H345">
        <v>3</v>
      </c>
      <c r="I345">
        <v>420</v>
      </c>
      <c r="J345">
        <v>0.15</v>
      </c>
      <c r="K345">
        <v>992.32</v>
      </c>
      <c r="L345" t="s">
        <v>67</v>
      </c>
    </row>
    <row r="346" spans="1:12" x14ac:dyDescent="0.3">
      <c r="A346" t="s">
        <v>630</v>
      </c>
      <c r="B346" t="s">
        <v>560</v>
      </c>
      <c r="C346" t="s">
        <v>43</v>
      </c>
      <c r="D346" t="s">
        <v>15</v>
      </c>
      <c r="E346" t="s">
        <v>16</v>
      </c>
      <c r="F346" t="s">
        <v>17</v>
      </c>
      <c r="G346" t="s">
        <v>18</v>
      </c>
      <c r="H346">
        <v>3</v>
      </c>
      <c r="I346">
        <v>420</v>
      </c>
      <c r="J346">
        <v>0.15</v>
      </c>
      <c r="K346">
        <v>808.98</v>
      </c>
      <c r="L346" t="s">
        <v>44</v>
      </c>
    </row>
    <row r="347" spans="1:12" x14ac:dyDescent="0.3">
      <c r="A347" t="s">
        <v>631</v>
      </c>
      <c r="B347" t="s">
        <v>632</v>
      </c>
      <c r="C347" t="s">
        <v>82</v>
      </c>
      <c r="D347" t="s">
        <v>15</v>
      </c>
      <c r="E347" t="s">
        <v>16</v>
      </c>
      <c r="F347" t="s">
        <v>32</v>
      </c>
      <c r="G347" t="s">
        <v>33</v>
      </c>
      <c r="H347">
        <v>1</v>
      </c>
      <c r="I347">
        <v>1499</v>
      </c>
      <c r="J347">
        <v>0.05</v>
      </c>
      <c r="K347">
        <v>1095.3399999999999</v>
      </c>
      <c r="L347" t="s">
        <v>19</v>
      </c>
    </row>
    <row r="348" spans="1:12" x14ac:dyDescent="0.3">
      <c r="A348" t="s">
        <v>633</v>
      </c>
      <c r="B348" t="s">
        <v>465</v>
      </c>
      <c r="C348" t="s">
        <v>22</v>
      </c>
      <c r="D348" t="s">
        <v>15</v>
      </c>
      <c r="E348" t="s">
        <v>59</v>
      </c>
      <c r="F348" t="s">
        <v>39</v>
      </c>
      <c r="G348" t="s">
        <v>106</v>
      </c>
      <c r="H348">
        <v>2</v>
      </c>
      <c r="I348">
        <v>999</v>
      </c>
      <c r="J348">
        <v>0.05</v>
      </c>
      <c r="K348">
        <v>1306.78</v>
      </c>
      <c r="L348" t="s">
        <v>44</v>
      </c>
    </row>
    <row r="349" spans="1:12" x14ac:dyDescent="0.3">
      <c r="A349" t="s">
        <v>634</v>
      </c>
      <c r="B349" t="s">
        <v>635</v>
      </c>
      <c r="C349" t="s">
        <v>14</v>
      </c>
      <c r="D349" t="s">
        <v>23</v>
      </c>
      <c r="E349" t="s">
        <v>59</v>
      </c>
      <c r="F349" t="s">
        <v>25</v>
      </c>
      <c r="G349" t="s">
        <v>56</v>
      </c>
      <c r="H349">
        <v>4</v>
      </c>
      <c r="I349">
        <v>1499</v>
      </c>
      <c r="J349">
        <v>0.05</v>
      </c>
      <c r="K349">
        <v>4544.6899999999996</v>
      </c>
      <c r="L349" t="s">
        <v>44</v>
      </c>
    </row>
    <row r="350" spans="1:12" x14ac:dyDescent="0.3">
      <c r="A350" t="s">
        <v>636</v>
      </c>
      <c r="B350" t="s">
        <v>323</v>
      </c>
      <c r="C350" t="s">
        <v>14</v>
      </c>
      <c r="D350" t="s">
        <v>15</v>
      </c>
      <c r="E350" t="s">
        <v>24</v>
      </c>
      <c r="F350" t="s">
        <v>32</v>
      </c>
      <c r="G350" t="s">
        <v>97</v>
      </c>
      <c r="H350">
        <v>7</v>
      </c>
      <c r="I350">
        <v>899</v>
      </c>
      <c r="J350">
        <v>0.05</v>
      </c>
      <c r="K350">
        <v>5131.1000000000004</v>
      </c>
      <c r="L350" t="s">
        <v>67</v>
      </c>
    </row>
    <row r="351" spans="1:12" x14ac:dyDescent="0.3">
      <c r="A351" t="s">
        <v>637</v>
      </c>
      <c r="B351" t="s">
        <v>491</v>
      </c>
      <c r="C351" t="s">
        <v>43</v>
      </c>
      <c r="D351" t="s">
        <v>23</v>
      </c>
      <c r="E351" t="s">
        <v>24</v>
      </c>
      <c r="F351" t="s">
        <v>32</v>
      </c>
      <c r="G351" t="s">
        <v>33</v>
      </c>
      <c r="H351">
        <v>4</v>
      </c>
      <c r="I351">
        <v>1499</v>
      </c>
      <c r="J351">
        <v>0.05</v>
      </c>
      <c r="K351">
        <v>4109.58</v>
      </c>
      <c r="L351" t="s">
        <v>27</v>
      </c>
    </row>
    <row r="352" spans="1:12" x14ac:dyDescent="0.3">
      <c r="A352" t="s">
        <v>638</v>
      </c>
      <c r="B352" t="s">
        <v>194</v>
      </c>
      <c r="C352" t="s">
        <v>92</v>
      </c>
      <c r="D352" t="s">
        <v>23</v>
      </c>
      <c r="E352" t="s">
        <v>38</v>
      </c>
      <c r="F352" t="s">
        <v>25</v>
      </c>
      <c r="G352" t="s">
        <v>26</v>
      </c>
      <c r="H352">
        <v>6</v>
      </c>
      <c r="I352">
        <v>599</v>
      </c>
      <c r="J352">
        <v>0.05</v>
      </c>
      <c r="K352">
        <v>2934.07</v>
      </c>
      <c r="L352" t="s">
        <v>34</v>
      </c>
    </row>
    <row r="353" spans="1:12" x14ac:dyDescent="0.3">
      <c r="A353" t="s">
        <v>639</v>
      </c>
      <c r="B353" t="s">
        <v>101</v>
      </c>
      <c r="C353" t="s">
        <v>76</v>
      </c>
      <c r="D353" t="s">
        <v>15</v>
      </c>
      <c r="E353" t="s">
        <v>38</v>
      </c>
      <c r="F353" t="s">
        <v>32</v>
      </c>
      <c r="G353" t="s">
        <v>103</v>
      </c>
      <c r="H353">
        <v>7</v>
      </c>
      <c r="I353">
        <v>499</v>
      </c>
      <c r="J353">
        <v>0.05</v>
      </c>
      <c r="K353">
        <v>2557.56</v>
      </c>
      <c r="L353" t="s">
        <v>67</v>
      </c>
    </row>
    <row r="354" spans="1:12" x14ac:dyDescent="0.3">
      <c r="A354" t="s">
        <v>640</v>
      </c>
      <c r="B354" t="s">
        <v>72</v>
      </c>
      <c r="C354" t="s">
        <v>92</v>
      </c>
      <c r="D354" t="s">
        <v>15</v>
      </c>
      <c r="E354" t="s">
        <v>38</v>
      </c>
      <c r="F354" t="s">
        <v>39</v>
      </c>
      <c r="G354" t="s">
        <v>40</v>
      </c>
      <c r="H354">
        <v>7</v>
      </c>
      <c r="I354">
        <v>1599</v>
      </c>
      <c r="J354">
        <v>0.2</v>
      </c>
      <c r="K354">
        <v>8580.68</v>
      </c>
      <c r="L354" t="s">
        <v>19</v>
      </c>
    </row>
    <row r="355" spans="1:12" x14ac:dyDescent="0.3">
      <c r="A355" t="s">
        <v>641</v>
      </c>
      <c r="B355" t="s">
        <v>395</v>
      </c>
      <c r="C355" t="s">
        <v>63</v>
      </c>
      <c r="D355" t="s">
        <v>23</v>
      </c>
      <c r="E355" t="s">
        <v>31</v>
      </c>
      <c r="F355" t="s">
        <v>25</v>
      </c>
      <c r="G355" t="s">
        <v>26</v>
      </c>
      <c r="H355">
        <v>7</v>
      </c>
      <c r="I355">
        <v>599</v>
      </c>
      <c r="J355">
        <v>0.2</v>
      </c>
      <c r="K355">
        <v>2997.57</v>
      </c>
      <c r="L355" t="s">
        <v>67</v>
      </c>
    </row>
    <row r="356" spans="1:12" x14ac:dyDescent="0.3">
      <c r="A356" t="s">
        <v>642</v>
      </c>
      <c r="B356" t="s">
        <v>643</v>
      </c>
      <c r="C356" t="s">
        <v>92</v>
      </c>
      <c r="D356" t="s">
        <v>23</v>
      </c>
      <c r="E356" t="s">
        <v>24</v>
      </c>
      <c r="F356" t="s">
        <v>32</v>
      </c>
      <c r="G356" t="s">
        <v>103</v>
      </c>
      <c r="H356">
        <v>5</v>
      </c>
      <c r="I356">
        <v>499</v>
      </c>
      <c r="J356">
        <v>0.2</v>
      </c>
      <c r="K356">
        <v>1731.78</v>
      </c>
      <c r="L356" t="s">
        <v>27</v>
      </c>
    </row>
    <row r="357" spans="1:12" x14ac:dyDescent="0.3">
      <c r="A357" t="s">
        <v>644</v>
      </c>
      <c r="B357" t="s">
        <v>645</v>
      </c>
      <c r="C357" t="s">
        <v>30</v>
      </c>
      <c r="D357" t="s">
        <v>15</v>
      </c>
      <c r="E357" t="s">
        <v>16</v>
      </c>
      <c r="F357" t="s">
        <v>17</v>
      </c>
      <c r="G357" t="s">
        <v>89</v>
      </c>
      <c r="H357">
        <v>8</v>
      </c>
      <c r="I357">
        <v>650</v>
      </c>
      <c r="J357">
        <v>0</v>
      </c>
      <c r="K357">
        <v>3341.03</v>
      </c>
      <c r="L357" t="s">
        <v>67</v>
      </c>
    </row>
    <row r="358" spans="1:12" x14ac:dyDescent="0.3">
      <c r="A358" t="s">
        <v>646</v>
      </c>
      <c r="B358" t="s">
        <v>647</v>
      </c>
      <c r="C358" t="s">
        <v>73</v>
      </c>
      <c r="D358" t="s">
        <v>23</v>
      </c>
      <c r="E358" t="s">
        <v>24</v>
      </c>
      <c r="F358" t="s">
        <v>32</v>
      </c>
      <c r="G358" t="s">
        <v>60</v>
      </c>
      <c r="H358">
        <v>6</v>
      </c>
      <c r="I358">
        <v>1299</v>
      </c>
      <c r="J358">
        <v>0.15</v>
      </c>
      <c r="K358">
        <v>5150.43</v>
      </c>
      <c r="L358" t="s">
        <v>67</v>
      </c>
    </row>
    <row r="359" spans="1:12" x14ac:dyDescent="0.3">
      <c r="A359" t="s">
        <v>648</v>
      </c>
      <c r="B359" t="s">
        <v>241</v>
      </c>
      <c r="C359" t="s">
        <v>63</v>
      </c>
      <c r="D359" t="s">
        <v>23</v>
      </c>
      <c r="E359" t="s">
        <v>59</v>
      </c>
      <c r="F359" t="s">
        <v>17</v>
      </c>
      <c r="G359" t="s">
        <v>18</v>
      </c>
      <c r="H359">
        <v>5</v>
      </c>
      <c r="I359">
        <v>420</v>
      </c>
      <c r="J359">
        <v>0.2</v>
      </c>
      <c r="K359">
        <v>1193.83</v>
      </c>
      <c r="L359" t="s">
        <v>27</v>
      </c>
    </row>
    <row r="360" spans="1:12" x14ac:dyDescent="0.3">
      <c r="A360" t="s">
        <v>649</v>
      </c>
      <c r="B360" t="s">
        <v>192</v>
      </c>
      <c r="C360" t="s">
        <v>43</v>
      </c>
      <c r="D360" t="s">
        <v>23</v>
      </c>
      <c r="E360" t="s">
        <v>47</v>
      </c>
      <c r="F360" t="s">
        <v>39</v>
      </c>
      <c r="G360" t="s">
        <v>210</v>
      </c>
      <c r="H360">
        <v>1</v>
      </c>
      <c r="I360">
        <v>1999</v>
      </c>
      <c r="J360">
        <v>0.15</v>
      </c>
      <c r="K360">
        <v>1590.25</v>
      </c>
      <c r="L360" t="s">
        <v>67</v>
      </c>
    </row>
    <row r="361" spans="1:12" x14ac:dyDescent="0.3">
      <c r="A361" t="s">
        <v>650</v>
      </c>
      <c r="B361" t="s">
        <v>604</v>
      </c>
      <c r="C361" t="s">
        <v>73</v>
      </c>
      <c r="D361" t="s">
        <v>15</v>
      </c>
      <c r="E361" t="s">
        <v>59</v>
      </c>
      <c r="F361" t="s">
        <v>17</v>
      </c>
      <c r="G361" t="s">
        <v>89</v>
      </c>
      <c r="H361">
        <v>7</v>
      </c>
      <c r="I361">
        <v>650</v>
      </c>
      <c r="J361">
        <v>0</v>
      </c>
      <c r="K361">
        <v>3187.87</v>
      </c>
      <c r="L361" t="s">
        <v>19</v>
      </c>
    </row>
    <row r="362" spans="1:12" x14ac:dyDescent="0.3">
      <c r="A362" t="s">
        <v>651</v>
      </c>
      <c r="B362" t="s">
        <v>589</v>
      </c>
      <c r="C362" t="s">
        <v>22</v>
      </c>
      <c r="D362" t="s">
        <v>15</v>
      </c>
      <c r="E362" t="s">
        <v>24</v>
      </c>
      <c r="F362" t="s">
        <v>32</v>
      </c>
      <c r="G362" t="s">
        <v>60</v>
      </c>
      <c r="H362">
        <v>3</v>
      </c>
      <c r="I362">
        <v>1299</v>
      </c>
      <c r="J362">
        <v>0.05</v>
      </c>
      <c r="K362">
        <v>3088.52</v>
      </c>
      <c r="L362" t="s">
        <v>34</v>
      </c>
    </row>
    <row r="363" spans="1:12" x14ac:dyDescent="0.3">
      <c r="A363" t="s">
        <v>652</v>
      </c>
      <c r="B363" t="s">
        <v>653</v>
      </c>
      <c r="C363" t="s">
        <v>37</v>
      </c>
      <c r="D363" t="s">
        <v>15</v>
      </c>
      <c r="E363" t="s">
        <v>16</v>
      </c>
      <c r="F363" t="s">
        <v>32</v>
      </c>
      <c r="G363" t="s">
        <v>60</v>
      </c>
      <c r="H363">
        <v>3</v>
      </c>
      <c r="I363">
        <v>1299</v>
      </c>
      <c r="J363">
        <v>0.2</v>
      </c>
      <c r="K363">
        <v>2444.84</v>
      </c>
      <c r="L363" t="s">
        <v>27</v>
      </c>
    </row>
    <row r="364" spans="1:12" x14ac:dyDescent="0.3">
      <c r="A364" t="s">
        <v>654</v>
      </c>
      <c r="B364" t="s">
        <v>21</v>
      </c>
      <c r="C364" t="s">
        <v>37</v>
      </c>
      <c r="D364" t="s">
        <v>23</v>
      </c>
      <c r="E364" t="s">
        <v>47</v>
      </c>
      <c r="F364" t="s">
        <v>17</v>
      </c>
      <c r="G364" t="s">
        <v>113</v>
      </c>
      <c r="H364">
        <v>8</v>
      </c>
      <c r="I364">
        <v>180</v>
      </c>
      <c r="J364">
        <v>0</v>
      </c>
      <c r="K364">
        <v>1131.79</v>
      </c>
      <c r="L364" t="s">
        <v>19</v>
      </c>
    </row>
    <row r="365" spans="1:12" x14ac:dyDescent="0.3">
      <c r="A365" t="s">
        <v>655</v>
      </c>
      <c r="B365" t="s">
        <v>576</v>
      </c>
      <c r="C365" t="s">
        <v>76</v>
      </c>
      <c r="D365" t="s">
        <v>23</v>
      </c>
      <c r="E365" t="s">
        <v>24</v>
      </c>
      <c r="F365" t="s">
        <v>32</v>
      </c>
      <c r="G365" t="s">
        <v>60</v>
      </c>
      <c r="H365">
        <v>3</v>
      </c>
      <c r="I365">
        <v>1299</v>
      </c>
      <c r="J365">
        <v>0.2</v>
      </c>
      <c r="K365">
        <v>2830.7</v>
      </c>
      <c r="L365" t="s">
        <v>27</v>
      </c>
    </row>
    <row r="366" spans="1:12" x14ac:dyDescent="0.3">
      <c r="A366" t="s">
        <v>656</v>
      </c>
      <c r="B366" t="s">
        <v>657</v>
      </c>
      <c r="C366" t="s">
        <v>22</v>
      </c>
      <c r="D366" t="s">
        <v>15</v>
      </c>
      <c r="E366" t="s">
        <v>38</v>
      </c>
      <c r="F366" t="s">
        <v>17</v>
      </c>
      <c r="G366" t="s">
        <v>86</v>
      </c>
      <c r="H366">
        <v>5</v>
      </c>
      <c r="I366">
        <v>55</v>
      </c>
      <c r="J366">
        <v>0.15</v>
      </c>
      <c r="K366">
        <v>205.27</v>
      </c>
      <c r="L366" t="s">
        <v>19</v>
      </c>
    </row>
    <row r="367" spans="1:12" x14ac:dyDescent="0.3">
      <c r="A367" t="s">
        <v>658</v>
      </c>
      <c r="B367" t="s">
        <v>659</v>
      </c>
      <c r="C367" t="s">
        <v>73</v>
      </c>
      <c r="D367" t="s">
        <v>15</v>
      </c>
      <c r="E367" t="s">
        <v>31</v>
      </c>
      <c r="F367" t="s">
        <v>17</v>
      </c>
      <c r="G367" t="s">
        <v>86</v>
      </c>
      <c r="H367">
        <v>3</v>
      </c>
      <c r="I367">
        <v>55</v>
      </c>
      <c r="J367">
        <v>0.2</v>
      </c>
      <c r="K367">
        <v>120.88</v>
      </c>
      <c r="L367" t="s">
        <v>67</v>
      </c>
    </row>
    <row r="368" spans="1:12" x14ac:dyDescent="0.3">
      <c r="A368" t="s">
        <v>660</v>
      </c>
      <c r="B368" t="s">
        <v>139</v>
      </c>
      <c r="C368" t="s">
        <v>37</v>
      </c>
      <c r="D368" t="s">
        <v>23</v>
      </c>
      <c r="E368" t="s">
        <v>16</v>
      </c>
      <c r="F368" t="s">
        <v>39</v>
      </c>
      <c r="G368" t="s">
        <v>48</v>
      </c>
      <c r="H368">
        <v>8</v>
      </c>
      <c r="I368">
        <v>799</v>
      </c>
      <c r="J368">
        <v>0.1</v>
      </c>
      <c r="K368">
        <v>5235.75</v>
      </c>
      <c r="L368" t="s">
        <v>27</v>
      </c>
    </row>
    <row r="369" spans="1:12" x14ac:dyDescent="0.3">
      <c r="A369" t="s">
        <v>661</v>
      </c>
      <c r="B369" t="s">
        <v>662</v>
      </c>
      <c r="C369" t="s">
        <v>63</v>
      </c>
      <c r="D369" t="s">
        <v>23</v>
      </c>
      <c r="E369" t="s">
        <v>38</v>
      </c>
      <c r="F369" t="s">
        <v>32</v>
      </c>
      <c r="G369" t="s">
        <v>103</v>
      </c>
      <c r="H369">
        <v>4</v>
      </c>
      <c r="I369">
        <v>499</v>
      </c>
      <c r="J369">
        <v>0.05</v>
      </c>
      <c r="K369">
        <v>1277.73</v>
      </c>
      <c r="L369" t="s">
        <v>67</v>
      </c>
    </row>
    <row r="370" spans="1:12" x14ac:dyDescent="0.3">
      <c r="A370" t="s">
        <v>663</v>
      </c>
      <c r="B370" t="s">
        <v>619</v>
      </c>
      <c r="C370" t="s">
        <v>63</v>
      </c>
      <c r="D370" t="s">
        <v>23</v>
      </c>
      <c r="E370" t="s">
        <v>47</v>
      </c>
      <c r="F370" t="s">
        <v>25</v>
      </c>
      <c r="G370" t="s">
        <v>79</v>
      </c>
      <c r="H370">
        <v>8</v>
      </c>
      <c r="I370">
        <v>899</v>
      </c>
      <c r="J370">
        <v>0.05</v>
      </c>
      <c r="K370">
        <v>5926.42</v>
      </c>
      <c r="L370" t="s">
        <v>67</v>
      </c>
    </row>
    <row r="371" spans="1:12" x14ac:dyDescent="0.3">
      <c r="A371" t="s">
        <v>664</v>
      </c>
      <c r="B371" t="s">
        <v>308</v>
      </c>
      <c r="C371" t="s">
        <v>76</v>
      </c>
      <c r="D371" t="s">
        <v>23</v>
      </c>
      <c r="E371" t="s">
        <v>24</v>
      </c>
      <c r="F371" t="s">
        <v>39</v>
      </c>
      <c r="G371" t="s">
        <v>48</v>
      </c>
      <c r="H371">
        <v>5</v>
      </c>
      <c r="I371">
        <v>799</v>
      </c>
      <c r="J371">
        <v>0.2</v>
      </c>
      <c r="K371">
        <v>2680.71</v>
      </c>
      <c r="L371" t="s">
        <v>19</v>
      </c>
    </row>
    <row r="372" spans="1:12" x14ac:dyDescent="0.3">
      <c r="A372" t="s">
        <v>665</v>
      </c>
      <c r="B372" t="s">
        <v>666</v>
      </c>
      <c r="C372" t="s">
        <v>92</v>
      </c>
      <c r="D372" t="s">
        <v>15</v>
      </c>
      <c r="E372" t="s">
        <v>31</v>
      </c>
      <c r="F372" t="s">
        <v>39</v>
      </c>
      <c r="G372" t="s">
        <v>48</v>
      </c>
      <c r="H372">
        <v>4</v>
      </c>
      <c r="I372">
        <v>799</v>
      </c>
      <c r="J372">
        <v>0</v>
      </c>
      <c r="K372">
        <v>2195.44</v>
      </c>
      <c r="L372" t="s">
        <v>44</v>
      </c>
    </row>
    <row r="373" spans="1:12" x14ac:dyDescent="0.3">
      <c r="A373" t="s">
        <v>667</v>
      </c>
      <c r="B373" t="s">
        <v>606</v>
      </c>
      <c r="C373" t="s">
        <v>30</v>
      </c>
      <c r="D373" t="s">
        <v>23</v>
      </c>
      <c r="E373" t="s">
        <v>38</v>
      </c>
      <c r="F373" t="s">
        <v>32</v>
      </c>
      <c r="G373" t="s">
        <v>33</v>
      </c>
      <c r="H373">
        <v>7</v>
      </c>
      <c r="I373">
        <v>1499</v>
      </c>
      <c r="J373">
        <v>0</v>
      </c>
      <c r="K373">
        <v>7915.42</v>
      </c>
      <c r="L373" t="s">
        <v>34</v>
      </c>
    </row>
    <row r="374" spans="1:12" x14ac:dyDescent="0.3">
      <c r="A374" t="s">
        <v>668</v>
      </c>
      <c r="B374" t="s">
        <v>348</v>
      </c>
      <c r="C374" t="s">
        <v>73</v>
      </c>
      <c r="D374" t="s">
        <v>23</v>
      </c>
      <c r="E374" t="s">
        <v>31</v>
      </c>
      <c r="F374" t="s">
        <v>32</v>
      </c>
      <c r="G374" t="s">
        <v>33</v>
      </c>
      <c r="H374">
        <v>6</v>
      </c>
      <c r="I374">
        <v>1499</v>
      </c>
      <c r="J374">
        <v>0.1</v>
      </c>
      <c r="K374">
        <v>5387.89</v>
      </c>
      <c r="L374" t="s">
        <v>44</v>
      </c>
    </row>
    <row r="375" spans="1:12" x14ac:dyDescent="0.3">
      <c r="A375" t="s">
        <v>669</v>
      </c>
      <c r="B375" t="s">
        <v>212</v>
      </c>
      <c r="C375" t="s">
        <v>14</v>
      </c>
      <c r="D375" t="s">
        <v>23</v>
      </c>
      <c r="E375" t="s">
        <v>24</v>
      </c>
      <c r="F375" t="s">
        <v>32</v>
      </c>
      <c r="G375" t="s">
        <v>103</v>
      </c>
      <c r="H375">
        <v>3</v>
      </c>
      <c r="I375">
        <v>499</v>
      </c>
      <c r="J375">
        <v>0.2</v>
      </c>
      <c r="K375">
        <v>1173.57</v>
      </c>
      <c r="L375" t="s">
        <v>34</v>
      </c>
    </row>
    <row r="376" spans="1:12" x14ac:dyDescent="0.3">
      <c r="A376" t="s">
        <v>670</v>
      </c>
      <c r="B376" t="s">
        <v>465</v>
      </c>
      <c r="C376" t="s">
        <v>30</v>
      </c>
      <c r="D376" t="s">
        <v>15</v>
      </c>
      <c r="E376" t="s">
        <v>38</v>
      </c>
      <c r="F376" t="s">
        <v>32</v>
      </c>
      <c r="G376" t="s">
        <v>33</v>
      </c>
      <c r="H376">
        <v>1</v>
      </c>
      <c r="I376">
        <v>1499</v>
      </c>
      <c r="J376">
        <v>0</v>
      </c>
      <c r="K376">
        <v>1037.6500000000001</v>
      </c>
      <c r="L376" t="s">
        <v>34</v>
      </c>
    </row>
    <row r="377" spans="1:12" x14ac:dyDescent="0.3">
      <c r="A377" t="s">
        <v>671</v>
      </c>
      <c r="B377" t="s">
        <v>672</v>
      </c>
      <c r="C377" t="s">
        <v>82</v>
      </c>
      <c r="D377" t="s">
        <v>15</v>
      </c>
      <c r="E377" t="s">
        <v>31</v>
      </c>
      <c r="F377" t="s">
        <v>17</v>
      </c>
      <c r="G377" t="s">
        <v>74</v>
      </c>
      <c r="H377">
        <v>5</v>
      </c>
      <c r="I377">
        <v>240</v>
      </c>
      <c r="J377">
        <v>0.1</v>
      </c>
      <c r="K377">
        <v>812.57</v>
      </c>
      <c r="L377" t="s">
        <v>67</v>
      </c>
    </row>
    <row r="378" spans="1:12" x14ac:dyDescent="0.3">
      <c r="A378" t="s">
        <v>673</v>
      </c>
      <c r="B378" t="s">
        <v>223</v>
      </c>
      <c r="C378" t="s">
        <v>73</v>
      </c>
      <c r="D378" t="s">
        <v>23</v>
      </c>
      <c r="E378" t="s">
        <v>31</v>
      </c>
      <c r="F378" t="s">
        <v>32</v>
      </c>
      <c r="G378" t="s">
        <v>51</v>
      </c>
      <c r="H378">
        <v>7</v>
      </c>
      <c r="I378">
        <v>699</v>
      </c>
      <c r="J378">
        <v>0.2</v>
      </c>
      <c r="K378">
        <v>2841.33</v>
      </c>
      <c r="L378" t="s">
        <v>19</v>
      </c>
    </row>
    <row r="379" spans="1:12" x14ac:dyDescent="0.3">
      <c r="A379" t="s">
        <v>674</v>
      </c>
      <c r="B379" t="s">
        <v>225</v>
      </c>
      <c r="C379" t="s">
        <v>43</v>
      </c>
      <c r="D379" t="s">
        <v>23</v>
      </c>
      <c r="E379" t="s">
        <v>38</v>
      </c>
      <c r="F379" t="s">
        <v>675</v>
      </c>
      <c r="G379" t="s">
        <v>250</v>
      </c>
      <c r="H379">
        <v>2</v>
      </c>
      <c r="I379">
        <v>299</v>
      </c>
      <c r="J379">
        <v>0.1</v>
      </c>
      <c r="K379">
        <v>506.21</v>
      </c>
      <c r="L379" t="s">
        <v>44</v>
      </c>
    </row>
    <row r="380" spans="1:12" x14ac:dyDescent="0.3">
      <c r="A380" t="s">
        <v>676</v>
      </c>
      <c r="B380" t="s">
        <v>677</v>
      </c>
      <c r="C380" t="s">
        <v>63</v>
      </c>
      <c r="D380" t="s">
        <v>23</v>
      </c>
      <c r="E380" t="s">
        <v>31</v>
      </c>
      <c r="F380" t="s">
        <v>39</v>
      </c>
      <c r="G380" t="s">
        <v>210</v>
      </c>
      <c r="H380">
        <v>4</v>
      </c>
      <c r="I380">
        <v>1999</v>
      </c>
      <c r="J380">
        <v>0</v>
      </c>
      <c r="K380">
        <v>6329.87</v>
      </c>
      <c r="L380" t="s">
        <v>19</v>
      </c>
    </row>
    <row r="381" spans="1:12" x14ac:dyDescent="0.3">
      <c r="A381" t="s">
        <v>678</v>
      </c>
      <c r="B381" t="s">
        <v>555</v>
      </c>
      <c r="C381" t="s">
        <v>43</v>
      </c>
      <c r="D381" t="s">
        <v>15</v>
      </c>
      <c r="E381" t="s">
        <v>16</v>
      </c>
      <c r="F381" t="s">
        <v>25</v>
      </c>
      <c r="G381" t="s">
        <v>250</v>
      </c>
      <c r="H381">
        <v>5</v>
      </c>
      <c r="I381">
        <v>299</v>
      </c>
      <c r="J381">
        <v>0.1</v>
      </c>
      <c r="K381">
        <v>1229</v>
      </c>
      <c r="L381" t="s">
        <v>67</v>
      </c>
    </row>
    <row r="382" spans="1:12" x14ac:dyDescent="0.3">
      <c r="A382" t="s">
        <v>679</v>
      </c>
      <c r="B382" t="s">
        <v>680</v>
      </c>
      <c r="C382" t="s">
        <v>92</v>
      </c>
      <c r="D382" t="s">
        <v>15</v>
      </c>
      <c r="E382" t="s">
        <v>38</v>
      </c>
      <c r="F382" t="s">
        <v>39</v>
      </c>
      <c r="G382" t="s">
        <v>210</v>
      </c>
      <c r="H382">
        <v>8</v>
      </c>
      <c r="I382">
        <v>1999</v>
      </c>
      <c r="J382">
        <v>0.1</v>
      </c>
      <c r="K382">
        <v>11229.49</v>
      </c>
      <c r="L382" t="s">
        <v>34</v>
      </c>
    </row>
    <row r="383" spans="1:12" x14ac:dyDescent="0.3">
      <c r="A383" t="s">
        <v>681</v>
      </c>
      <c r="B383" t="s">
        <v>595</v>
      </c>
      <c r="C383" t="s">
        <v>76</v>
      </c>
      <c r="D383" t="s">
        <v>15</v>
      </c>
      <c r="E383" t="s">
        <v>38</v>
      </c>
      <c r="F383" t="s">
        <v>25</v>
      </c>
      <c r="G383" t="s">
        <v>250</v>
      </c>
      <c r="H383">
        <v>3</v>
      </c>
      <c r="I383">
        <v>299</v>
      </c>
      <c r="J383">
        <v>0.1</v>
      </c>
      <c r="K383">
        <v>688.5</v>
      </c>
      <c r="L383" t="s">
        <v>19</v>
      </c>
    </row>
    <row r="384" spans="1:12" x14ac:dyDescent="0.3">
      <c r="A384" t="s">
        <v>682</v>
      </c>
      <c r="B384" t="s">
        <v>683</v>
      </c>
      <c r="C384" t="s">
        <v>43</v>
      </c>
      <c r="D384" t="s">
        <v>15</v>
      </c>
      <c r="E384" t="s">
        <v>31</v>
      </c>
      <c r="F384" t="s">
        <v>17</v>
      </c>
      <c r="G384" t="s">
        <v>18</v>
      </c>
      <c r="H384">
        <v>5</v>
      </c>
      <c r="I384">
        <v>420</v>
      </c>
      <c r="J384">
        <v>0.15</v>
      </c>
      <c r="K384">
        <v>1651.5</v>
      </c>
      <c r="L384" t="s">
        <v>44</v>
      </c>
    </row>
    <row r="385" spans="1:12" x14ac:dyDescent="0.3">
      <c r="A385" t="s">
        <v>684</v>
      </c>
      <c r="B385" t="s">
        <v>348</v>
      </c>
      <c r="C385" t="s">
        <v>63</v>
      </c>
      <c r="D385" t="s">
        <v>23</v>
      </c>
      <c r="E385" t="s">
        <v>59</v>
      </c>
      <c r="F385" t="s">
        <v>25</v>
      </c>
      <c r="G385" t="s">
        <v>250</v>
      </c>
      <c r="H385">
        <v>1</v>
      </c>
      <c r="I385">
        <v>299</v>
      </c>
      <c r="J385">
        <v>0.2</v>
      </c>
      <c r="K385">
        <v>216.5</v>
      </c>
      <c r="L385" t="s">
        <v>19</v>
      </c>
    </row>
    <row r="386" spans="1:12" x14ac:dyDescent="0.3">
      <c r="A386" t="s">
        <v>685</v>
      </c>
      <c r="B386" t="s">
        <v>214</v>
      </c>
      <c r="C386" t="s">
        <v>73</v>
      </c>
      <c r="D386" t="s">
        <v>15</v>
      </c>
      <c r="E386" t="s">
        <v>47</v>
      </c>
      <c r="F386" t="s">
        <v>25</v>
      </c>
      <c r="G386" t="s">
        <v>250</v>
      </c>
      <c r="H386">
        <v>5</v>
      </c>
      <c r="I386">
        <v>299</v>
      </c>
      <c r="J386">
        <v>0.15</v>
      </c>
      <c r="K386">
        <v>846.5</v>
      </c>
      <c r="L386" t="s">
        <v>34</v>
      </c>
    </row>
    <row r="387" spans="1:12" x14ac:dyDescent="0.3">
      <c r="A387" t="s">
        <v>686</v>
      </c>
      <c r="B387" t="s">
        <v>378</v>
      </c>
      <c r="C387" t="s">
        <v>30</v>
      </c>
      <c r="D387" t="s">
        <v>23</v>
      </c>
      <c r="E387" t="s">
        <v>59</v>
      </c>
      <c r="F387" t="s">
        <v>32</v>
      </c>
      <c r="G387" t="s">
        <v>60</v>
      </c>
      <c r="H387">
        <v>6</v>
      </c>
      <c r="I387">
        <v>1299</v>
      </c>
      <c r="J387">
        <v>0.05</v>
      </c>
      <c r="K387">
        <v>6108.02</v>
      </c>
      <c r="L387" t="s">
        <v>67</v>
      </c>
    </row>
    <row r="388" spans="1:12" x14ac:dyDescent="0.3">
      <c r="A388" t="s">
        <v>687</v>
      </c>
      <c r="B388" t="s">
        <v>688</v>
      </c>
      <c r="C388" t="s">
        <v>82</v>
      </c>
      <c r="D388" t="s">
        <v>23</v>
      </c>
      <c r="E388" t="s">
        <v>16</v>
      </c>
      <c r="F388" t="s">
        <v>25</v>
      </c>
      <c r="G388" t="s">
        <v>26</v>
      </c>
      <c r="H388">
        <v>8</v>
      </c>
      <c r="I388">
        <v>599</v>
      </c>
      <c r="J388">
        <v>0.1</v>
      </c>
      <c r="K388">
        <v>2936.61</v>
      </c>
      <c r="L388" t="s">
        <v>34</v>
      </c>
    </row>
    <row r="389" spans="1:12" x14ac:dyDescent="0.3">
      <c r="A389" t="s">
        <v>689</v>
      </c>
      <c r="B389" t="s">
        <v>420</v>
      </c>
      <c r="C389" t="s">
        <v>82</v>
      </c>
      <c r="D389" t="s">
        <v>23</v>
      </c>
      <c r="E389" t="s">
        <v>24</v>
      </c>
      <c r="F389" t="s">
        <v>39</v>
      </c>
      <c r="G389" t="s">
        <v>210</v>
      </c>
      <c r="H389">
        <v>7</v>
      </c>
      <c r="I389">
        <v>1999</v>
      </c>
      <c r="J389">
        <v>0.15</v>
      </c>
      <c r="K389">
        <v>9389.56</v>
      </c>
      <c r="L389" t="s">
        <v>67</v>
      </c>
    </row>
    <row r="390" spans="1:12" x14ac:dyDescent="0.3">
      <c r="A390" t="s">
        <v>690</v>
      </c>
      <c r="B390" t="s">
        <v>691</v>
      </c>
      <c r="C390" t="s">
        <v>92</v>
      </c>
      <c r="D390" t="s">
        <v>15</v>
      </c>
      <c r="E390" t="s">
        <v>47</v>
      </c>
      <c r="F390" t="s">
        <v>39</v>
      </c>
      <c r="G390" t="s">
        <v>106</v>
      </c>
      <c r="H390">
        <v>1</v>
      </c>
      <c r="I390">
        <v>999</v>
      </c>
      <c r="J390">
        <v>0.1</v>
      </c>
      <c r="K390">
        <v>776.28</v>
      </c>
      <c r="L390" t="s">
        <v>19</v>
      </c>
    </row>
    <row r="391" spans="1:12" x14ac:dyDescent="0.3">
      <c r="A391" t="s">
        <v>692</v>
      </c>
      <c r="B391" t="s">
        <v>403</v>
      </c>
      <c r="C391" t="s">
        <v>92</v>
      </c>
      <c r="D391" t="s">
        <v>15</v>
      </c>
      <c r="E391" t="s">
        <v>16</v>
      </c>
      <c r="F391" t="s">
        <v>39</v>
      </c>
      <c r="G391" t="s">
        <v>40</v>
      </c>
      <c r="H391">
        <v>6</v>
      </c>
      <c r="I391">
        <v>1599</v>
      </c>
      <c r="J391">
        <v>0.1</v>
      </c>
      <c r="K391">
        <v>5647.79</v>
      </c>
      <c r="L391" t="s">
        <v>67</v>
      </c>
    </row>
    <row r="392" spans="1:12" x14ac:dyDescent="0.3">
      <c r="A392" t="s">
        <v>693</v>
      </c>
      <c r="B392" t="s">
        <v>243</v>
      </c>
      <c r="C392" t="s">
        <v>22</v>
      </c>
      <c r="D392" t="s">
        <v>23</v>
      </c>
      <c r="E392" t="s">
        <v>31</v>
      </c>
      <c r="F392" t="s">
        <v>25</v>
      </c>
      <c r="G392" t="s">
        <v>26</v>
      </c>
      <c r="H392">
        <v>5</v>
      </c>
      <c r="I392">
        <v>599</v>
      </c>
      <c r="J392">
        <v>0.1</v>
      </c>
      <c r="K392">
        <v>2056.9</v>
      </c>
      <c r="L392" t="s">
        <v>19</v>
      </c>
    </row>
    <row r="393" spans="1:12" x14ac:dyDescent="0.3">
      <c r="A393" t="s">
        <v>694</v>
      </c>
      <c r="B393" t="s">
        <v>199</v>
      </c>
      <c r="C393" t="s">
        <v>76</v>
      </c>
      <c r="D393" t="s">
        <v>23</v>
      </c>
      <c r="E393" t="s">
        <v>59</v>
      </c>
      <c r="F393" t="s">
        <v>39</v>
      </c>
      <c r="G393" t="s">
        <v>106</v>
      </c>
      <c r="H393">
        <v>8</v>
      </c>
      <c r="I393">
        <v>999</v>
      </c>
      <c r="J393">
        <v>0.1</v>
      </c>
      <c r="K393">
        <v>6194.08</v>
      </c>
      <c r="L393" t="s">
        <v>34</v>
      </c>
    </row>
    <row r="394" spans="1:12" x14ac:dyDescent="0.3">
      <c r="A394" t="s">
        <v>695</v>
      </c>
      <c r="B394" t="s">
        <v>555</v>
      </c>
      <c r="C394" t="s">
        <v>92</v>
      </c>
      <c r="D394" t="s">
        <v>15</v>
      </c>
      <c r="E394" t="s">
        <v>31</v>
      </c>
      <c r="F394" t="s">
        <v>39</v>
      </c>
      <c r="G394" t="s">
        <v>40</v>
      </c>
      <c r="H394">
        <v>1</v>
      </c>
      <c r="I394">
        <v>1599</v>
      </c>
      <c r="J394">
        <v>0.2</v>
      </c>
      <c r="K394">
        <v>1121.52</v>
      </c>
      <c r="L394" t="s">
        <v>27</v>
      </c>
    </row>
    <row r="395" spans="1:12" x14ac:dyDescent="0.3">
      <c r="A395" t="s">
        <v>696</v>
      </c>
      <c r="B395" t="s">
        <v>697</v>
      </c>
      <c r="C395" t="s">
        <v>92</v>
      </c>
      <c r="D395" t="s">
        <v>23</v>
      </c>
      <c r="E395" t="s">
        <v>16</v>
      </c>
      <c r="F395" t="s">
        <v>17</v>
      </c>
      <c r="G395" t="s">
        <v>74</v>
      </c>
      <c r="H395">
        <v>1</v>
      </c>
      <c r="I395">
        <v>240</v>
      </c>
      <c r="J395">
        <v>0.2</v>
      </c>
      <c r="K395">
        <v>203.62</v>
      </c>
      <c r="L395" t="s">
        <v>27</v>
      </c>
    </row>
    <row r="396" spans="1:12" x14ac:dyDescent="0.3">
      <c r="A396" t="s">
        <v>698</v>
      </c>
      <c r="B396" t="s">
        <v>699</v>
      </c>
      <c r="C396" t="s">
        <v>92</v>
      </c>
      <c r="D396" t="s">
        <v>15</v>
      </c>
      <c r="E396" t="s">
        <v>16</v>
      </c>
      <c r="F396" t="s">
        <v>25</v>
      </c>
      <c r="G396" t="s">
        <v>250</v>
      </c>
      <c r="H396">
        <v>8</v>
      </c>
      <c r="I396">
        <v>299</v>
      </c>
      <c r="J396">
        <v>0.15</v>
      </c>
      <c r="K396">
        <v>1404.29</v>
      </c>
      <c r="L396" t="s">
        <v>44</v>
      </c>
    </row>
    <row r="397" spans="1:12" x14ac:dyDescent="0.3">
      <c r="A397" t="s">
        <v>700</v>
      </c>
      <c r="B397" t="s">
        <v>149</v>
      </c>
      <c r="C397" t="s">
        <v>82</v>
      </c>
      <c r="D397" t="s">
        <v>15</v>
      </c>
      <c r="E397" t="s">
        <v>16</v>
      </c>
      <c r="F397" t="s">
        <v>25</v>
      </c>
      <c r="G397" t="s">
        <v>56</v>
      </c>
      <c r="H397">
        <v>7</v>
      </c>
      <c r="I397">
        <v>1499</v>
      </c>
      <c r="J397">
        <v>0</v>
      </c>
      <c r="K397">
        <v>7856.58</v>
      </c>
      <c r="L397" t="s">
        <v>44</v>
      </c>
    </row>
    <row r="398" spans="1:12" x14ac:dyDescent="0.3">
      <c r="A398" t="s">
        <v>701</v>
      </c>
      <c r="B398" t="s">
        <v>702</v>
      </c>
      <c r="C398" t="s">
        <v>22</v>
      </c>
      <c r="D398" t="s">
        <v>15</v>
      </c>
      <c r="E398" t="s">
        <v>59</v>
      </c>
      <c r="F398" t="s">
        <v>25</v>
      </c>
      <c r="G398" t="s">
        <v>70</v>
      </c>
      <c r="H398">
        <v>2</v>
      </c>
      <c r="I398">
        <v>1299</v>
      </c>
      <c r="J398">
        <v>0.1</v>
      </c>
      <c r="K398">
        <v>1517.76</v>
      </c>
      <c r="L398" t="s">
        <v>27</v>
      </c>
    </row>
    <row r="399" spans="1:12" x14ac:dyDescent="0.3">
      <c r="A399" t="s">
        <v>703</v>
      </c>
      <c r="B399" t="s">
        <v>580</v>
      </c>
      <c r="C399" t="s">
        <v>30</v>
      </c>
      <c r="D399" t="s">
        <v>15</v>
      </c>
      <c r="E399" t="s">
        <v>38</v>
      </c>
      <c r="F399" t="s">
        <v>39</v>
      </c>
      <c r="G399" t="s">
        <v>106</v>
      </c>
      <c r="H399">
        <v>7</v>
      </c>
      <c r="I399">
        <v>999</v>
      </c>
      <c r="J399">
        <v>0.1</v>
      </c>
      <c r="K399">
        <v>4182.6000000000004</v>
      </c>
      <c r="L399" t="s">
        <v>19</v>
      </c>
    </row>
    <row r="400" spans="1:12" x14ac:dyDescent="0.3">
      <c r="A400" t="s">
        <v>704</v>
      </c>
      <c r="B400" t="s">
        <v>580</v>
      </c>
      <c r="C400" t="s">
        <v>30</v>
      </c>
      <c r="D400" t="s">
        <v>23</v>
      </c>
      <c r="E400" t="s">
        <v>38</v>
      </c>
      <c r="F400" t="s">
        <v>39</v>
      </c>
      <c r="G400" t="s">
        <v>48</v>
      </c>
      <c r="H400">
        <v>1</v>
      </c>
      <c r="I400">
        <v>799</v>
      </c>
      <c r="J400">
        <v>0</v>
      </c>
      <c r="K400">
        <v>656.83</v>
      </c>
      <c r="L400" t="s">
        <v>19</v>
      </c>
    </row>
    <row r="401" spans="1:12" x14ac:dyDescent="0.3">
      <c r="A401" t="s">
        <v>705</v>
      </c>
      <c r="B401" t="s">
        <v>706</v>
      </c>
      <c r="C401" t="s">
        <v>73</v>
      </c>
      <c r="D401" t="s">
        <v>15</v>
      </c>
      <c r="E401" t="s">
        <v>24</v>
      </c>
      <c r="F401" t="s">
        <v>25</v>
      </c>
      <c r="G401" t="s">
        <v>26</v>
      </c>
      <c r="H401">
        <v>5</v>
      </c>
      <c r="I401">
        <v>599</v>
      </c>
      <c r="J401">
        <v>0.05</v>
      </c>
      <c r="K401">
        <v>2057.64</v>
      </c>
      <c r="L401" t="s">
        <v>44</v>
      </c>
    </row>
    <row r="402" spans="1:12" x14ac:dyDescent="0.3">
      <c r="A402" t="s">
        <v>707</v>
      </c>
      <c r="B402" t="s">
        <v>395</v>
      </c>
      <c r="C402" t="s">
        <v>73</v>
      </c>
      <c r="D402" t="s">
        <v>15</v>
      </c>
      <c r="E402" t="s">
        <v>24</v>
      </c>
      <c r="F402" t="s">
        <v>39</v>
      </c>
      <c r="G402" t="s">
        <v>48</v>
      </c>
      <c r="H402">
        <v>5</v>
      </c>
      <c r="I402">
        <v>799</v>
      </c>
      <c r="J402">
        <v>0.1</v>
      </c>
      <c r="K402">
        <v>3157.96</v>
      </c>
      <c r="L402" t="s">
        <v>44</v>
      </c>
    </row>
    <row r="403" spans="1:12" x14ac:dyDescent="0.3">
      <c r="A403" t="s">
        <v>708</v>
      </c>
      <c r="B403" t="s">
        <v>709</v>
      </c>
      <c r="C403" t="s">
        <v>14</v>
      </c>
      <c r="D403" t="s">
        <v>15</v>
      </c>
      <c r="E403" t="s">
        <v>24</v>
      </c>
      <c r="F403" t="s">
        <v>25</v>
      </c>
      <c r="G403" t="s">
        <v>79</v>
      </c>
      <c r="H403">
        <v>3</v>
      </c>
      <c r="I403">
        <v>899</v>
      </c>
      <c r="J403">
        <v>0.1</v>
      </c>
      <c r="K403">
        <v>1772.63</v>
      </c>
      <c r="L403" t="s">
        <v>67</v>
      </c>
    </row>
    <row r="404" spans="1:12" x14ac:dyDescent="0.3">
      <c r="A404" t="s">
        <v>710</v>
      </c>
      <c r="B404" t="s">
        <v>702</v>
      </c>
      <c r="C404" t="s">
        <v>63</v>
      </c>
      <c r="D404" t="s">
        <v>15</v>
      </c>
      <c r="E404" t="s">
        <v>38</v>
      </c>
      <c r="F404" t="s">
        <v>17</v>
      </c>
      <c r="G404" t="s">
        <v>18</v>
      </c>
      <c r="H404">
        <v>2</v>
      </c>
      <c r="I404">
        <v>420</v>
      </c>
      <c r="J404">
        <v>0.15</v>
      </c>
      <c r="K404">
        <v>562.86</v>
      </c>
      <c r="L404" t="s">
        <v>67</v>
      </c>
    </row>
    <row r="405" spans="1:12" x14ac:dyDescent="0.3">
      <c r="A405" t="s">
        <v>711</v>
      </c>
      <c r="B405" t="s">
        <v>438</v>
      </c>
      <c r="C405" t="s">
        <v>37</v>
      </c>
      <c r="D405" t="s">
        <v>23</v>
      </c>
      <c r="E405" t="s">
        <v>59</v>
      </c>
      <c r="F405" t="s">
        <v>39</v>
      </c>
      <c r="G405" t="s">
        <v>48</v>
      </c>
      <c r="H405">
        <v>3</v>
      </c>
      <c r="I405">
        <v>799</v>
      </c>
      <c r="J405">
        <v>0</v>
      </c>
      <c r="K405">
        <v>2024.2</v>
      </c>
      <c r="L405" t="s">
        <v>34</v>
      </c>
    </row>
    <row r="406" spans="1:12" x14ac:dyDescent="0.3">
      <c r="A406" t="s">
        <v>712</v>
      </c>
      <c r="B406" t="s">
        <v>713</v>
      </c>
      <c r="C406" t="s">
        <v>37</v>
      </c>
      <c r="D406" t="s">
        <v>23</v>
      </c>
      <c r="E406" t="s">
        <v>47</v>
      </c>
      <c r="F406" t="s">
        <v>32</v>
      </c>
      <c r="G406" t="s">
        <v>60</v>
      </c>
      <c r="H406">
        <v>7</v>
      </c>
      <c r="I406">
        <v>1299</v>
      </c>
      <c r="J406">
        <v>0.1</v>
      </c>
      <c r="K406">
        <v>6668.87</v>
      </c>
      <c r="L406" t="s">
        <v>34</v>
      </c>
    </row>
    <row r="407" spans="1:12" x14ac:dyDescent="0.3">
      <c r="A407" t="s">
        <v>714</v>
      </c>
      <c r="B407" t="s">
        <v>715</v>
      </c>
      <c r="C407" t="s">
        <v>73</v>
      </c>
      <c r="D407" t="s">
        <v>15</v>
      </c>
      <c r="E407" t="s">
        <v>59</v>
      </c>
      <c r="F407" t="s">
        <v>32</v>
      </c>
      <c r="G407" t="s">
        <v>103</v>
      </c>
      <c r="H407">
        <v>2</v>
      </c>
      <c r="I407">
        <v>499</v>
      </c>
      <c r="J407">
        <v>0.1</v>
      </c>
      <c r="K407">
        <v>745</v>
      </c>
      <c r="L407" t="s">
        <v>27</v>
      </c>
    </row>
    <row r="408" spans="1:12" x14ac:dyDescent="0.3">
      <c r="A408" t="s">
        <v>716</v>
      </c>
      <c r="B408" t="s">
        <v>606</v>
      </c>
      <c r="C408" t="s">
        <v>76</v>
      </c>
      <c r="D408" t="s">
        <v>15</v>
      </c>
      <c r="E408" t="s">
        <v>16</v>
      </c>
      <c r="F408" t="s">
        <v>17</v>
      </c>
      <c r="G408" t="s">
        <v>74</v>
      </c>
      <c r="H408">
        <v>2</v>
      </c>
      <c r="I408">
        <v>240</v>
      </c>
      <c r="J408">
        <v>0.15</v>
      </c>
      <c r="K408">
        <v>359.29</v>
      </c>
      <c r="L408" t="s">
        <v>34</v>
      </c>
    </row>
    <row r="409" spans="1:12" x14ac:dyDescent="0.3">
      <c r="A409" t="s">
        <v>717</v>
      </c>
      <c r="B409" t="s">
        <v>718</v>
      </c>
      <c r="C409" t="s">
        <v>43</v>
      </c>
      <c r="D409" t="s">
        <v>23</v>
      </c>
      <c r="E409" t="s">
        <v>31</v>
      </c>
      <c r="F409" t="s">
        <v>25</v>
      </c>
      <c r="G409" t="s">
        <v>26</v>
      </c>
      <c r="H409">
        <v>3</v>
      </c>
      <c r="I409">
        <v>599</v>
      </c>
      <c r="J409">
        <v>0.2</v>
      </c>
      <c r="K409">
        <v>1445.96</v>
      </c>
      <c r="L409" t="s">
        <v>67</v>
      </c>
    </row>
    <row r="410" spans="1:12" x14ac:dyDescent="0.3">
      <c r="A410" t="s">
        <v>719</v>
      </c>
      <c r="B410" t="s">
        <v>267</v>
      </c>
      <c r="C410" t="s">
        <v>14</v>
      </c>
      <c r="D410" t="s">
        <v>23</v>
      </c>
      <c r="E410" t="s">
        <v>38</v>
      </c>
      <c r="F410" t="s">
        <v>39</v>
      </c>
      <c r="G410" t="s">
        <v>106</v>
      </c>
      <c r="H410">
        <v>5</v>
      </c>
      <c r="I410">
        <v>999</v>
      </c>
      <c r="J410">
        <v>0</v>
      </c>
      <c r="K410">
        <v>3506.88</v>
      </c>
      <c r="L410" t="s">
        <v>19</v>
      </c>
    </row>
    <row r="411" spans="1:12" x14ac:dyDescent="0.3">
      <c r="A411" t="s">
        <v>720</v>
      </c>
      <c r="B411" t="s">
        <v>721</v>
      </c>
      <c r="C411" t="s">
        <v>37</v>
      </c>
      <c r="D411" t="s">
        <v>23</v>
      </c>
      <c r="E411" t="s">
        <v>31</v>
      </c>
      <c r="F411" t="s">
        <v>25</v>
      </c>
      <c r="G411" t="s">
        <v>250</v>
      </c>
      <c r="H411">
        <v>8</v>
      </c>
      <c r="I411">
        <v>299</v>
      </c>
      <c r="J411">
        <v>0.2</v>
      </c>
      <c r="K411">
        <v>1637.16</v>
      </c>
      <c r="L411" t="s">
        <v>67</v>
      </c>
    </row>
    <row r="412" spans="1:12" x14ac:dyDescent="0.3">
      <c r="A412" t="s">
        <v>722</v>
      </c>
      <c r="B412" t="s">
        <v>723</v>
      </c>
      <c r="C412" t="s">
        <v>43</v>
      </c>
      <c r="D412" t="s">
        <v>15</v>
      </c>
      <c r="E412" t="s">
        <v>59</v>
      </c>
      <c r="F412" t="s">
        <v>25</v>
      </c>
      <c r="G412" t="s">
        <v>26</v>
      </c>
      <c r="H412">
        <v>7</v>
      </c>
      <c r="I412">
        <v>599</v>
      </c>
      <c r="J412">
        <v>0.15</v>
      </c>
      <c r="K412">
        <v>2351.2199999999998</v>
      </c>
      <c r="L412" t="s">
        <v>19</v>
      </c>
    </row>
    <row r="413" spans="1:12" x14ac:dyDescent="0.3">
      <c r="A413" t="s">
        <v>724</v>
      </c>
      <c r="B413" t="s">
        <v>725</v>
      </c>
      <c r="C413" t="s">
        <v>14</v>
      </c>
      <c r="D413" t="s">
        <v>23</v>
      </c>
      <c r="E413" t="s">
        <v>47</v>
      </c>
      <c r="F413" t="s">
        <v>39</v>
      </c>
      <c r="G413" t="s">
        <v>66</v>
      </c>
      <c r="H413">
        <v>6</v>
      </c>
      <c r="I413">
        <v>1199</v>
      </c>
      <c r="J413">
        <v>0.1</v>
      </c>
      <c r="K413">
        <v>5737.89</v>
      </c>
      <c r="L413" t="s">
        <v>34</v>
      </c>
    </row>
    <row r="414" spans="1:12" x14ac:dyDescent="0.3">
      <c r="A414" t="s">
        <v>726</v>
      </c>
      <c r="B414" t="s">
        <v>727</v>
      </c>
      <c r="C414" t="s">
        <v>43</v>
      </c>
      <c r="D414" t="s">
        <v>23</v>
      </c>
      <c r="E414" t="s">
        <v>16</v>
      </c>
      <c r="F414" t="s">
        <v>17</v>
      </c>
      <c r="G414" t="s">
        <v>86</v>
      </c>
      <c r="H414">
        <v>2</v>
      </c>
      <c r="I414">
        <v>55</v>
      </c>
      <c r="J414">
        <v>0</v>
      </c>
      <c r="K414">
        <v>85.56</v>
      </c>
      <c r="L414" t="s">
        <v>34</v>
      </c>
    </row>
    <row r="415" spans="1:12" x14ac:dyDescent="0.3">
      <c r="A415" t="s">
        <v>728</v>
      </c>
      <c r="B415" t="s">
        <v>729</v>
      </c>
      <c r="C415" t="s">
        <v>43</v>
      </c>
      <c r="D415" t="s">
        <v>23</v>
      </c>
      <c r="E415" t="s">
        <v>16</v>
      </c>
      <c r="F415" t="s">
        <v>17</v>
      </c>
      <c r="G415" t="s">
        <v>74</v>
      </c>
      <c r="H415">
        <v>6</v>
      </c>
      <c r="I415">
        <v>240</v>
      </c>
      <c r="J415">
        <v>0</v>
      </c>
      <c r="K415">
        <v>811.78</v>
      </c>
      <c r="L415" t="s">
        <v>34</v>
      </c>
    </row>
    <row r="416" spans="1:12" x14ac:dyDescent="0.3">
      <c r="A416" t="s">
        <v>730</v>
      </c>
      <c r="B416" t="s">
        <v>731</v>
      </c>
      <c r="C416" t="s">
        <v>82</v>
      </c>
      <c r="D416" t="s">
        <v>23</v>
      </c>
      <c r="E416" t="s">
        <v>24</v>
      </c>
      <c r="F416" t="s">
        <v>17</v>
      </c>
      <c r="G416" t="s">
        <v>74</v>
      </c>
      <c r="H416">
        <v>4</v>
      </c>
      <c r="I416">
        <v>240</v>
      </c>
      <c r="J416">
        <v>0.05</v>
      </c>
      <c r="K416">
        <v>562.77</v>
      </c>
      <c r="L416" t="s">
        <v>67</v>
      </c>
    </row>
    <row r="417" spans="1:12" x14ac:dyDescent="0.3">
      <c r="A417" t="s">
        <v>732</v>
      </c>
      <c r="B417" t="s">
        <v>733</v>
      </c>
      <c r="C417" t="s">
        <v>73</v>
      </c>
      <c r="D417" t="s">
        <v>15</v>
      </c>
      <c r="E417" t="s">
        <v>16</v>
      </c>
      <c r="F417" t="s">
        <v>17</v>
      </c>
      <c r="G417" t="s">
        <v>89</v>
      </c>
      <c r="H417">
        <v>7</v>
      </c>
      <c r="I417">
        <v>650</v>
      </c>
      <c r="J417">
        <v>0</v>
      </c>
      <c r="K417">
        <v>3767.35</v>
      </c>
      <c r="L417" t="s">
        <v>19</v>
      </c>
    </row>
    <row r="418" spans="1:12" x14ac:dyDescent="0.3">
      <c r="A418" t="s">
        <v>734</v>
      </c>
      <c r="B418" t="s">
        <v>735</v>
      </c>
      <c r="C418" t="s">
        <v>73</v>
      </c>
      <c r="D418" t="s">
        <v>23</v>
      </c>
      <c r="E418" t="s">
        <v>16</v>
      </c>
      <c r="F418" t="s">
        <v>39</v>
      </c>
      <c r="G418" t="s">
        <v>66</v>
      </c>
      <c r="H418">
        <v>1</v>
      </c>
      <c r="I418">
        <v>1199</v>
      </c>
      <c r="J418">
        <v>0.2</v>
      </c>
      <c r="K418">
        <v>924.27</v>
      </c>
      <c r="L418" t="s">
        <v>19</v>
      </c>
    </row>
    <row r="419" spans="1:12" x14ac:dyDescent="0.3">
      <c r="A419" t="s">
        <v>736</v>
      </c>
      <c r="B419" t="s">
        <v>500</v>
      </c>
      <c r="C419" t="s">
        <v>22</v>
      </c>
      <c r="D419" t="s">
        <v>23</v>
      </c>
      <c r="E419" t="s">
        <v>47</v>
      </c>
      <c r="F419" t="s">
        <v>39</v>
      </c>
      <c r="G419" t="s">
        <v>210</v>
      </c>
      <c r="H419">
        <v>3</v>
      </c>
      <c r="I419">
        <v>1999</v>
      </c>
      <c r="J419">
        <v>0.05</v>
      </c>
      <c r="K419">
        <v>3484.65</v>
      </c>
      <c r="L419" t="s">
        <v>19</v>
      </c>
    </row>
    <row r="420" spans="1:12" x14ac:dyDescent="0.3">
      <c r="A420" t="s">
        <v>737</v>
      </c>
      <c r="B420" t="s">
        <v>263</v>
      </c>
      <c r="C420" t="s">
        <v>43</v>
      </c>
      <c r="D420" t="s">
        <v>23</v>
      </c>
      <c r="E420" t="s">
        <v>59</v>
      </c>
      <c r="F420" t="s">
        <v>39</v>
      </c>
      <c r="G420" t="s">
        <v>106</v>
      </c>
      <c r="H420">
        <v>7</v>
      </c>
      <c r="I420">
        <v>999</v>
      </c>
      <c r="J420">
        <v>0.1</v>
      </c>
      <c r="K420">
        <v>5882.14</v>
      </c>
      <c r="L420" t="s">
        <v>67</v>
      </c>
    </row>
    <row r="421" spans="1:12" x14ac:dyDescent="0.3">
      <c r="A421" t="s">
        <v>738</v>
      </c>
      <c r="B421" t="s">
        <v>122</v>
      </c>
      <c r="C421" t="s">
        <v>82</v>
      </c>
      <c r="D421" t="s">
        <v>23</v>
      </c>
      <c r="E421" t="s">
        <v>47</v>
      </c>
      <c r="F421" t="s">
        <v>17</v>
      </c>
      <c r="G421" t="s">
        <v>74</v>
      </c>
      <c r="H421">
        <v>6</v>
      </c>
      <c r="I421">
        <v>240</v>
      </c>
      <c r="J421">
        <v>0.2</v>
      </c>
      <c r="K421">
        <v>1065.28</v>
      </c>
      <c r="L421" t="s">
        <v>34</v>
      </c>
    </row>
    <row r="422" spans="1:12" x14ac:dyDescent="0.3">
      <c r="A422" t="s">
        <v>739</v>
      </c>
      <c r="B422" t="s">
        <v>740</v>
      </c>
      <c r="C422" t="s">
        <v>22</v>
      </c>
      <c r="D422" t="s">
        <v>23</v>
      </c>
      <c r="E422" t="s">
        <v>16</v>
      </c>
      <c r="F422" t="s">
        <v>17</v>
      </c>
      <c r="G422" t="s">
        <v>18</v>
      </c>
      <c r="H422">
        <v>3</v>
      </c>
      <c r="I422">
        <v>420</v>
      </c>
      <c r="J422">
        <v>0.2</v>
      </c>
      <c r="K422">
        <v>898.06</v>
      </c>
      <c r="L422" t="s">
        <v>44</v>
      </c>
    </row>
    <row r="423" spans="1:12" x14ac:dyDescent="0.3">
      <c r="A423" t="s">
        <v>741</v>
      </c>
      <c r="B423" t="s">
        <v>742</v>
      </c>
      <c r="D423" t="s">
        <v>23</v>
      </c>
      <c r="E423" t="s">
        <v>47</v>
      </c>
      <c r="F423" t="s">
        <v>32</v>
      </c>
      <c r="G423" t="s">
        <v>33</v>
      </c>
      <c r="H423">
        <v>7</v>
      </c>
      <c r="I423">
        <v>1499</v>
      </c>
      <c r="J423">
        <v>0.2</v>
      </c>
      <c r="K423">
        <v>6671.22</v>
      </c>
      <c r="L423" t="s">
        <v>67</v>
      </c>
    </row>
    <row r="424" spans="1:12" x14ac:dyDescent="0.3">
      <c r="A424" t="s">
        <v>743</v>
      </c>
      <c r="B424" t="s">
        <v>184</v>
      </c>
      <c r="C424" t="s">
        <v>76</v>
      </c>
      <c r="D424" t="s">
        <v>15</v>
      </c>
      <c r="E424" t="s">
        <v>24</v>
      </c>
      <c r="F424" t="s">
        <v>32</v>
      </c>
      <c r="G424" t="s">
        <v>60</v>
      </c>
      <c r="H424">
        <v>1</v>
      </c>
      <c r="I424">
        <v>1299</v>
      </c>
      <c r="J424">
        <v>0</v>
      </c>
      <c r="K424">
        <v>792.35</v>
      </c>
      <c r="L424" t="s">
        <v>34</v>
      </c>
    </row>
    <row r="425" spans="1:12" x14ac:dyDescent="0.3">
      <c r="A425" t="s">
        <v>744</v>
      </c>
      <c r="B425" t="s">
        <v>105</v>
      </c>
      <c r="C425" t="s">
        <v>63</v>
      </c>
      <c r="D425" t="s">
        <v>15</v>
      </c>
      <c r="E425" t="s">
        <v>24</v>
      </c>
      <c r="F425" t="s">
        <v>17</v>
      </c>
      <c r="G425" t="s">
        <v>18</v>
      </c>
      <c r="H425">
        <v>1</v>
      </c>
      <c r="I425">
        <v>420</v>
      </c>
      <c r="J425">
        <v>0.1</v>
      </c>
      <c r="K425">
        <v>333.57</v>
      </c>
      <c r="L425" t="s">
        <v>27</v>
      </c>
    </row>
    <row r="426" spans="1:12" x14ac:dyDescent="0.3">
      <c r="A426" t="s">
        <v>745</v>
      </c>
      <c r="B426" t="s">
        <v>548</v>
      </c>
      <c r="C426" t="s">
        <v>76</v>
      </c>
      <c r="D426" t="s">
        <v>15</v>
      </c>
      <c r="E426" t="s">
        <v>16</v>
      </c>
      <c r="F426" t="s">
        <v>32</v>
      </c>
      <c r="G426" t="s">
        <v>60</v>
      </c>
      <c r="H426">
        <v>5</v>
      </c>
      <c r="I426">
        <v>1299</v>
      </c>
      <c r="J426">
        <v>0</v>
      </c>
      <c r="K426">
        <v>5377.51</v>
      </c>
      <c r="L426" t="s">
        <v>67</v>
      </c>
    </row>
    <row r="427" spans="1:12" x14ac:dyDescent="0.3">
      <c r="A427" t="s">
        <v>746</v>
      </c>
      <c r="B427" t="s">
        <v>747</v>
      </c>
      <c r="C427" t="s">
        <v>43</v>
      </c>
      <c r="D427" t="s">
        <v>15</v>
      </c>
      <c r="E427" t="s">
        <v>24</v>
      </c>
      <c r="F427" t="s">
        <v>17</v>
      </c>
      <c r="G427" t="s">
        <v>18</v>
      </c>
      <c r="H427">
        <v>8</v>
      </c>
      <c r="I427">
        <v>420</v>
      </c>
      <c r="J427">
        <v>0.05</v>
      </c>
      <c r="K427">
        <v>2766.78</v>
      </c>
      <c r="L427" t="s">
        <v>44</v>
      </c>
    </row>
    <row r="428" spans="1:12" x14ac:dyDescent="0.3">
      <c r="A428" t="s">
        <v>748</v>
      </c>
      <c r="B428" t="s">
        <v>284</v>
      </c>
      <c r="C428" t="s">
        <v>76</v>
      </c>
      <c r="D428" t="s">
        <v>15</v>
      </c>
      <c r="E428" t="s">
        <v>16</v>
      </c>
      <c r="F428" t="s">
        <v>39</v>
      </c>
      <c r="G428" t="s">
        <v>106</v>
      </c>
      <c r="H428">
        <v>8</v>
      </c>
      <c r="I428">
        <v>999</v>
      </c>
      <c r="J428">
        <v>0.05</v>
      </c>
      <c r="K428">
        <v>6753.53</v>
      </c>
      <c r="L428" t="s">
        <v>27</v>
      </c>
    </row>
    <row r="429" spans="1:12" x14ac:dyDescent="0.3">
      <c r="A429" t="s">
        <v>749</v>
      </c>
      <c r="B429" t="s">
        <v>110</v>
      </c>
      <c r="C429" t="s">
        <v>82</v>
      </c>
      <c r="D429" t="s">
        <v>15</v>
      </c>
      <c r="E429" t="s">
        <v>59</v>
      </c>
      <c r="F429" t="s">
        <v>25</v>
      </c>
      <c r="G429" t="s">
        <v>250</v>
      </c>
      <c r="H429">
        <v>5</v>
      </c>
      <c r="I429">
        <v>299</v>
      </c>
      <c r="J429">
        <v>0.2</v>
      </c>
      <c r="K429">
        <v>940.76</v>
      </c>
      <c r="L429" t="s">
        <v>34</v>
      </c>
    </row>
    <row r="430" spans="1:12" x14ac:dyDescent="0.3">
      <c r="A430" t="s">
        <v>750</v>
      </c>
      <c r="B430" t="s">
        <v>479</v>
      </c>
      <c r="C430" t="s">
        <v>63</v>
      </c>
      <c r="D430" t="s">
        <v>15</v>
      </c>
      <c r="E430" t="s">
        <v>38</v>
      </c>
      <c r="F430" t="s">
        <v>32</v>
      </c>
      <c r="G430" t="s">
        <v>60</v>
      </c>
      <c r="H430">
        <v>1</v>
      </c>
      <c r="I430">
        <v>1299</v>
      </c>
      <c r="J430">
        <v>0.05</v>
      </c>
      <c r="K430">
        <v>1076.3399999999999</v>
      </c>
      <c r="L430" t="s">
        <v>19</v>
      </c>
    </row>
    <row r="431" spans="1:12" x14ac:dyDescent="0.3">
      <c r="A431" t="s">
        <v>751</v>
      </c>
      <c r="B431" t="s">
        <v>229</v>
      </c>
      <c r="C431" t="s">
        <v>22</v>
      </c>
      <c r="D431" t="s">
        <v>23</v>
      </c>
      <c r="E431" t="s">
        <v>59</v>
      </c>
      <c r="F431" t="s">
        <v>17</v>
      </c>
      <c r="G431" t="s">
        <v>89</v>
      </c>
      <c r="H431">
        <v>6</v>
      </c>
      <c r="I431">
        <v>650</v>
      </c>
      <c r="J431">
        <v>0.2</v>
      </c>
      <c r="K431">
        <v>2402.36</v>
      </c>
      <c r="L431" t="s">
        <v>34</v>
      </c>
    </row>
    <row r="432" spans="1:12" x14ac:dyDescent="0.3">
      <c r="A432" t="s">
        <v>752</v>
      </c>
      <c r="B432" t="s">
        <v>753</v>
      </c>
      <c r="C432" t="s">
        <v>14</v>
      </c>
      <c r="D432" t="s">
        <v>15</v>
      </c>
      <c r="E432" t="s">
        <v>59</v>
      </c>
      <c r="F432" t="s">
        <v>32</v>
      </c>
      <c r="G432" t="s">
        <v>103</v>
      </c>
      <c r="H432">
        <v>6</v>
      </c>
      <c r="I432">
        <v>499</v>
      </c>
      <c r="J432">
        <v>0.05</v>
      </c>
      <c r="K432">
        <v>2440.17</v>
      </c>
      <c r="L432" t="s">
        <v>44</v>
      </c>
    </row>
    <row r="433" spans="1:12" x14ac:dyDescent="0.3">
      <c r="A433" t="s">
        <v>754</v>
      </c>
      <c r="B433" t="s">
        <v>418</v>
      </c>
      <c r="C433" t="s">
        <v>43</v>
      </c>
      <c r="D433" t="s">
        <v>23</v>
      </c>
      <c r="E433" t="s">
        <v>31</v>
      </c>
      <c r="F433" t="s">
        <v>32</v>
      </c>
      <c r="G433" t="s">
        <v>33</v>
      </c>
      <c r="H433">
        <v>1</v>
      </c>
      <c r="I433">
        <v>1499</v>
      </c>
      <c r="J433">
        <v>0</v>
      </c>
      <c r="K433">
        <v>1125.27</v>
      </c>
      <c r="L433" t="s">
        <v>67</v>
      </c>
    </row>
    <row r="434" spans="1:12" x14ac:dyDescent="0.3">
      <c r="A434" t="s">
        <v>755</v>
      </c>
      <c r="B434" t="s">
        <v>756</v>
      </c>
      <c r="C434" t="s">
        <v>22</v>
      </c>
      <c r="D434" t="s">
        <v>15</v>
      </c>
      <c r="E434" t="s">
        <v>24</v>
      </c>
      <c r="F434" t="s">
        <v>17</v>
      </c>
      <c r="G434" t="s">
        <v>86</v>
      </c>
      <c r="H434">
        <v>2</v>
      </c>
      <c r="I434">
        <v>55</v>
      </c>
      <c r="J434">
        <v>0.15</v>
      </c>
      <c r="K434">
        <v>68.97</v>
      </c>
      <c r="L434" t="s">
        <v>44</v>
      </c>
    </row>
    <row r="435" spans="1:12" x14ac:dyDescent="0.3">
      <c r="A435" t="s">
        <v>757</v>
      </c>
      <c r="B435" t="s">
        <v>758</v>
      </c>
      <c r="C435" t="s">
        <v>76</v>
      </c>
      <c r="D435" t="s">
        <v>23</v>
      </c>
      <c r="E435" t="s">
        <v>47</v>
      </c>
      <c r="F435" t="s">
        <v>32</v>
      </c>
      <c r="G435" t="s">
        <v>97</v>
      </c>
      <c r="H435">
        <v>1</v>
      </c>
      <c r="I435">
        <v>899</v>
      </c>
      <c r="J435">
        <v>0.1</v>
      </c>
      <c r="K435">
        <v>736.72</v>
      </c>
      <c r="L435" t="s">
        <v>34</v>
      </c>
    </row>
    <row r="436" spans="1:12" x14ac:dyDescent="0.3">
      <c r="A436" t="s">
        <v>759</v>
      </c>
      <c r="B436" t="s">
        <v>619</v>
      </c>
      <c r="C436" t="s">
        <v>76</v>
      </c>
      <c r="D436" t="s">
        <v>15</v>
      </c>
      <c r="E436" t="s">
        <v>24</v>
      </c>
      <c r="F436" t="s">
        <v>39</v>
      </c>
      <c r="G436" t="s">
        <v>210</v>
      </c>
      <c r="H436">
        <v>1</v>
      </c>
      <c r="I436">
        <v>1999</v>
      </c>
      <c r="J436">
        <v>0</v>
      </c>
      <c r="K436">
        <v>1225.8599999999999</v>
      </c>
      <c r="L436" t="s">
        <v>34</v>
      </c>
    </row>
    <row r="437" spans="1:12" x14ac:dyDescent="0.3">
      <c r="A437" t="s">
        <v>760</v>
      </c>
      <c r="B437" t="s">
        <v>182</v>
      </c>
      <c r="C437" t="s">
        <v>37</v>
      </c>
      <c r="D437" t="s">
        <v>15</v>
      </c>
      <c r="E437" t="s">
        <v>31</v>
      </c>
      <c r="F437" t="s">
        <v>32</v>
      </c>
      <c r="G437" t="s">
        <v>103</v>
      </c>
      <c r="H437">
        <v>3</v>
      </c>
      <c r="I437">
        <v>499</v>
      </c>
      <c r="J437">
        <v>0</v>
      </c>
      <c r="K437">
        <v>1029.5899999999999</v>
      </c>
      <c r="L437" t="s">
        <v>44</v>
      </c>
    </row>
    <row r="438" spans="1:12" x14ac:dyDescent="0.3">
      <c r="A438" t="s">
        <v>761</v>
      </c>
      <c r="B438" t="s">
        <v>139</v>
      </c>
      <c r="C438" t="s">
        <v>14</v>
      </c>
      <c r="D438" t="s">
        <v>15</v>
      </c>
      <c r="E438" t="s">
        <v>24</v>
      </c>
      <c r="F438" t="s">
        <v>39</v>
      </c>
      <c r="G438" t="s">
        <v>106</v>
      </c>
      <c r="H438">
        <v>2</v>
      </c>
      <c r="I438">
        <v>999</v>
      </c>
      <c r="J438">
        <v>0.2</v>
      </c>
      <c r="K438">
        <v>1591.38</v>
      </c>
      <c r="L438" t="s">
        <v>44</v>
      </c>
    </row>
    <row r="439" spans="1:12" x14ac:dyDescent="0.3">
      <c r="A439" t="s">
        <v>762</v>
      </c>
      <c r="B439" t="s">
        <v>506</v>
      </c>
      <c r="C439" t="s">
        <v>37</v>
      </c>
      <c r="D439" t="s">
        <v>23</v>
      </c>
      <c r="E439" t="s">
        <v>16</v>
      </c>
      <c r="F439" t="s">
        <v>32</v>
      </c>
      <c r="G439" t="s">
        <v>97</v>
      </c>
      <c r="H439">
        <v>6</v>
      </c>
      <c r="I439">
        <v>899</v>
      </c>
      <c r="J439">
        <v>0</v>
      </c>
      <c r="K439">
        <v>3596.99</v>
      </c>
      <c r="L439" t="s">
        <v>27</v>
      </c>
    </row>
    <row r="440" spans="1:12" x14ac:dyDescent="0.3">
      <c r="A440" t="s">
        <v>763</v>
      </c>
      <c r="B440" t="s">
        <v>623</v>
      </c>
      <c r="C440" t="s">
        <v>92</v>
      </c>
      <c r="D440" t="s">
        <v>15</v>
      </c>
      <c r="E440" t="s">
        <v>16</v>
      </c>
      <c r="F440" t="s">
        <v>25</v>
      </c>
      <c r="G440" t="s">
        <v>26</v>
      </c>
      <c r="H440">
        <v>6</v>
      </c>
      <c r="I440">
        <v>599</v>
      </c>
      <c r="J440">
        <v>0.2</v>
      </c>
      <c r="K440">
        <v>2091.14</v>
      </c>
      <c r="L440" t="s">
        <v>44</v>
      </c>
    </row>
    <row r="441" spans="1:12" x14ac:dyDescent="0.3">
      <c r="A441" t="s">
        <v>764</v>
      </c>
      <c r="B441" t="s">
        <v>263</v>
      </c>
      <c r="C441" t="s">
        <v>14</v>
      </c>
      <c r="D441" t="s">
        <v>23</v>
      </c>
      <c r="E441" t="s">
        <v>59</v>
      </c>
      <c r="F441" t="s">
        <v>32</v>
      </c>
      <c r="G441" t="s">
        <v>97</v>
      </c>
      <c r="H441">
        <v>1</v>
      </c>
      <c r="I441">
        <v>899</v>
      </c>
      <c r="J441">
        <v>0.15</v>
      </c>
      <c r="K441">
        <v>536.61</v>
      </c>
      <c r="L441" t="s">
        <v>34</v>
      </c>
    </row>
    <row r="442" spans="1:12" x14ac:dyDescent="0.3">
      <c r="A442" t="s">
        <v>765</v>
      </c>
      <c r="B442" t="s">
        <v>766</v>
      </c>
      <c r="C442" t="s">
        <v>37</v>
      </c>
      <c r="D442" t="s">
        <v>23</v>
      </c>
      <c r="E442" t="s">
        <v>16</v>
      </c>
      <c r="F442" t="s">
        <v>39</v>
      </c>
      <c r="G442" t="s">
        <v>106</v>
      </c>
      <c r="H442">
        <v>6</v>
      </c>
      <c r="I442">
        <v>999</v>
      </c>
      <c r="J442">
        <v>0</v>
      </c>
      <c r="K442">
        <v>4292.05</v>
      </c>
      <c r="L442" t="s">
        <v>19</v>
      </c>
    </row>
    <row r="443" spans="1:12" x14ac:dyDescent="0.3">
      <c r="A443" t="s">
        <v>767</v>
      </c>
      <c r="B443" t="s">
        <v>597</v>
      </c>
      <c r="C443" t="s">
        <v>14</v>
      </c>
      <c r="D443" t="s">
        <v>15</v>
      </c>
      <c r="E443" t="s">
        <v>24</v>
      </c>
      <c r="F443" t="s">
        <v>32</v>
      </c>
      <c r="G443" t="s">
        <v>33</v>
      </c>
      <c r="H443">
        <v>2</v>
      </c>
      <c r="I443">
        <v>1499</v>
      </c>
      <c r="J443">
        <v>0.1</v>
      </c>
      <c r="K443">
        <v>1837.82</v>
      </c>
      <c r="L443" t="s">
        <v>44</v>
      </c>
    </row>
    <row r="444" spans="1:12" x14ac:dyDescent="0.3">
      <c r="A444" t="s">
        <v>768</v>
      </c>
      <c r="B444" t="s">
        <v>769</v>
      </c>
      <c r="C444" t="s">
        <v>37</v>
      </c>
      <c r="D444" t="s">
        <v>15</v>
      </c>
      <c r="E444" t="s">
        <v>31</v>
      </c>
      <c r="F444" t="s">
        <v>39</v>
      </c>
      <c r="G444" t="s">
        <v>40</v>
      </c>
      <c r="H444">
        <v>5</v>
      </c>
      <c r="I444">
        <v>1599</v>
      </c>
      <c r="J444">
        <v>0.05</v>
      </c>
      <c r="K444">
        <v>4672.17</v>
      </c>
      <c r="L444" t="s">
        <v>19</v>
      </c>
    </row>
    <row r="445" spans="1:12" x14ac:dyDescent="0.3">
      <c r="A445" t="s">
        <v>770</v>
      </c>
      <c r="B445" t="s">
        <v>541</v>
      </c>
      <c r="C445" t="s">
        <v>76</v>
      </c>
      <c r="D445" t="s">
        <v>23</v>
      </c>
      <c r="E445" t="s">
        <v>16</v>
      </c>
      <c r="F445" t="s">
        <v>25</v>
      </c>
      <c r="G445" t="s">
        <v>56</v>
      </c>
      <c r="H445">
        <v>2</v>
      </c>
      <c r="I445">
        <v>1499</v>
      </c>
      <c r="J445">
        <v>0.1</v>
      </c>
      <c r="K445">
        <v>1737.22</v>
      </c>
      <c r="L445" t="s">
        <v>19</v>
      </c>
    </row>
    <row r="446" spans="1:12" x14ac:dyDescent="0.3">
      <c r="A446" t="s">
        <v>771</v>
      </c>
      <c r="B446" t="s">
        <v>190</v>
      </c>
      <c r="C446" t="s">
        <v>43</v>
      </c>
      <c r="D446" t="s">
        <v>23</v>
      </c>
      <c r="E446" t="s">
        <v>31</v>
      </c>
      <c r="F446" t="s">
        <v>39</v>
      </c>
      <c r="G446" t="s">
        <v>48</v>
      </c>
      <c r="H446">
        <v>5</v>
      </c>
      <c r="I446">
        <v>799</v>
      </c>
      <c r="J446">
        <v>0.2</v>
      </c>
      <c r="K446">
        <v>2280.92</v>
      </c>
      <c r="L446" t="s">
        <v>34</v>
      </c>
    </row>
    <row r="447" spans="1:12" x14ac:dyDescent="0.3">
      <c r="A447" t="s">
        <v>772</v>
      </c>
      <c r="B447" t="s">
        <v>773</v>
      </c>
      <c r="C447" t="s">
        <v>73</v>
      </c>
      <c r="D447" t="s">
        <v>23</v>
      </c>
      <c r="E447" t="s">
        <v>38</v>
      </c>
      <c r="F447" t="s">
        <v>17</v>
      </c>
      <c r="G447" t="s">
        <v>74</v>
      </c>
      <c r="H447">
        <v>3</v>
      </c>
      <c r="I447">
        <v>240</v>
      </c>
      <c r="J447">
        <v>0.2</v>
      </c>
      <c r="K447">
        <v>518.44000000000005</v>
      </c>
      <c r="L447" t="s">
        <v>44</v>
      </c>
    </row>
    <row r="448" spans="1:12" x14ac:dyDescent="0.3">
      <c r="A448" t="s">
        <v>774</v>
      </c>
      <c r="B448" t="s">
        <v>775</v>
      </c>
      <c r="C448" t="s">
        <v>82</v>
      </c>
      <c r="D448" t="s">
        <v>15</v>
      </c>
      <c r="E448" t="s">
        <v>38</v>
      </c>
      <c r="F448" t="s">
        <v>39</v>
      </c>
      <c r="G448" t="s">
        <v>40</v>
      </c>
      <c r="H448">
        <v>7</v>
      </c>
      <c r="I448">
        <v>1599</v>
      </c>
      <c r="J448">
        <v>0.1</v>
      </c>
      <c r="K448">
        <v>8977.16</v>
      </c>
      <c r="L448" t="s">
        <v>34</v>
      </c>
    </row>
    <row r="449" spans="1:12" x14ac:dyDescent="0.3">
      <c r="A449" t="s">
        <v>776</v>
      </c>
      <c r="B449" t="s">
        <v>310</v>
      </c>
      <c r="C449" t="s">
        <v>43</v>
      </c>
      <c r="D449" t="s">
        <v>23</v>
      </c>
      <c r="E449" t="s">
        <v>59</v>
      </c>
      <c r="F449" t="s">
        <v>32</v>
      </c>
      <c r="G449" t="s">
        <v>51</v>
      </c>
      <c r="H449">
        <v>5</v>
      </c>
      <c r="I449">
        <v>699</v>
      </c>
      <c r="J449">
        <v>0.15</v>
      </c>
      <c r="K449">
        <v>2500.6799999999998</v>
      </c>
      <c r="L449" t="s">
        <v>34</v>
      </c>
    </row>
    <row r="450" spans="1:12" x14ac:dyDescent="0.3">
      <c r="A450" t="s">
        <v>777</v>
      </c>
      <c r="B450" t="s">
        <v>778</v>
      </c>
      <c r="C450" t="s">
        <v>22</v>
      </c>
      <c r="D450" t="s">
        <v>15</v>
      </c>
      <c r="E450" t="s">
        <v>38</v>
      </c>
      <c r="F450" t="s">
        <v>39</v>
      </c>
      <c r="G450" t="s">
        <v>210</v>
      </c>
      <c r="H450">
        <v>4</v>
      </c>
      <c r="I450">
        <v>1999</v>
      </c>
      <c r="J450">
        <v>0.1</v>
      </c>
      <c r="K450">
        <v>6157.43</v>
      </c>
      <c r="L450" t="s">
        <v>27</v>
      </c>
    </row>
    <row r="451" spans="1:12" x14ac:dyDescent="0.3">
      <c r="A451" t="s">
        <v>779</v>
      </c>
      <c r="B451" t="s">
        <v>101</v>
      </c>
      <c r="C451" t="s">
        <v>92</v>
      </c>
      <c r="D451" t="s">
        <v>15</v>
      </c>
      <c r="E451" t="s">
        <v>47</v>
      </c>
      <c r="F451" t="s">
        <v>32</v>
      </c>
      <c r="G451" t="s">
        <v>33</v>
      </c>
      <c r="H451">
        <v>4</v>
      </c>
      <c r="I451">
        <v>1499</v>
      </c>
      <c r="J451">
        <v>0</v>
      </c>
      <c r="K451">
        <v>4290.01</v>
      </c>
      <c r="L451" t="s">
        <v>19</v>
      </c>
    </row>
    <row r="452" spans="1:12" x14ac:dyDescent="0.3">
      <c r="A452" t="s">
        <v>780</v>
      </c>
      <c r="B452" t="s">
        <v>781</v>
      </c>
      <c r="C452" t="s">
        <v>73</v>
      </c>
      <c r="D452" t="s">
        <v>15</v>
      </c>
      <c r="E452" t="s">
        <v>38</v>
      </c>
      <c r="F452" t="s">
        <v>32</v>
      </c>
      <c r="G452" t="s">
        <v>60</v>
      </c>
      <c r="H452">
        <v>5</v>
      </c>
      <c r="I452">
        <v>1299</v>
      </c>
      <c r="J452">
        <v>0.05</v>
      </c>
      <c r="K452">
        <v>4477.72</v>
      </c>
      <c r="L452" t="s">
        <v>19</v>
      </c>
    </row>
    <row r="453" spans="1:12" x14ac:dyDescent="0.3">
      <c r="A453" t="s">
        <v>782</v>
      </c>
      <c r="B453" t="s">
        <v>304</v>
      </c>
      <c r="C453" t="s">
        <v>37</v>
      </c>
      <c r="D453" t="s">
        <v>23</v>
      </c>
      <c r="E453" t="s">
        <v>47</v>
      </c>
      <c r="F453" t="s">
        <v>25</v>
      </c>
      <c r="G453" t="s">
        <v>79</v>
      </c>
      <c r="H453">
        <v>3</v>
      </c>
      <c r="I453">
        <v>899</v>
      </c>
      <c r="J453">
        <v>0.2</v>
      </c>
      <c r="K453">
        <v>1596.92</v>
      </c>
      <c r="L453" t="s">
        <v>34</v>
      </c>
    </row>
    <row r="454" spans="1:12" x14ac:dyDescent="0.3">
      <c r="A454" t="s">
        <v>783</v>
      </c>
      <c r="B454" t="s">
        <v>587</v>
      </c>
      <c r="C454" t="s">
        <v>22</v>
      </c>
      <c r="D454" t="s">
        <v>15</v>
      </c>
      <c r="E454" t="s">
        <v>16</v>
      </c>
      <c r="F454" t="s">
        <v>32</v>
      </c>
      <c r="G454" t="s">
        <v>51</v>
      </c>
      <c r="H454">
        <v>1</v>
      </c>
      <c r="I454">
        <v>699</v>
      </c>
      <c r="J454">
        <v>0.05</v>
      </c>
      <c r="K454">
        <v>544.13</v>
      </c>
      <c r="L454" t="s">
        <v>34</v>
      </c>
    </row>
    <row r="455" spans="1:12" x14ac:dyDescent="0.3">
      <c r="A455" t="s">
        <v>784</v>
      </c>
      <c r="B455" t="s">
        <v>365</v>
      </c>
      <c r="C455" t="s">
        <v>63</v>
      </c>
      <c r="D455" t="s">
        <v>23</v>
      </c>
      <c r="E455" t="s">
        <v>31</v>
      </c>
      <c r="F455" t="s">
        <v>25</v>
      </c>
      <c r="G455" t="s">
        <v>79</v>
      </c>
      <c r="H455">
        <v>6</v>
      </c>
      <c r="I455">
        <v>899</v>
      </c>
      <c r="J455">
        <v>0.15</v>
      </c>
      <c r="K455">
        <v>3726.73</v>
      </c>
      <c r="L455" t="s">
        <v>67</v>
      </c>
    </row>
    <row r="456" spans="1:12" x14ac:dyDescent="0.3">
      <c r="A456" t="s">
        <v>785</v>
      </c>
      <c r="B456" t="s">
        <v>408</v>
      </c>
      <c r="C456" t="s">
        <v>92</v>
      </c>
      <c r="D456" t="s">
        <v>23</v>
      </c>
      <c r="E456" t="s">
        <v>24</v>
      </c>
      <c r="F456" t="s">
        <v>17</v>
      </c>
      <c r="G456" t="s">
        <v>113</v>
      </c>
      <c r="H456">
        <v>3</v>
      </c>
      <c r="I456">
        <v>180</v>
      </c>
      <c r="J456">
        <v>0.15</v>
      </c>
      <c r="K456">
        <v>402.9</v>
      </c>
      <c r="L456" t="s">
        <v>44</v>
      </c>
    </row>
    <row r="457" spans="1:12" x14ac:dyDescent="0.3">
      <c r="A457" t="s">
        <v>786</v>
      </c>
      <c r="B457" t="s">
        <v>576</v>
      </c>
      <c r="C457" t="s">
        <v>14</v>
      </c>
      <c r="D457" t="s">
        <v>23</v>
      </c>
      <c r="E457" t="s">
        <v>59</v>
      </c>
      <c r="F457" t="s">
        <v>39</v>
      </c>
      <c r="G457" t="s">
        <v>210</v>
      </c>
      <c r="H457">
        <v>7</v>
      </c>
      <c r="I457">
        <v>1999</v>
      </c>
      <c r="J457">
        <v>0.1</v>
      </c>
      <c r="K457">
        <v>11126.83</v>
      </c>
      <c r="L457" t="s">
        <v>44</v>
      </c>
    </row>
    <row r="458" spans="1:12" x14ac:dyDescent="0.3">
      <c r="A458" t="s">
        <v>787</v>
      </c>
      <c r="B458" t="s">
        <v>190</v>
      </c>
      <c r="C458" t="s">
        <v>73</v>
      </c>
      <c r="D458" t="s">
        <v>15</v>
      </c>
      <c r="E458" t="s">
        <v>47</v>
      </c>
      <c r="F458" t="s">
        <v>39</v>
      </c>
      <c r="G458" t="s">
        <v>66</v>
      </c>
      <c r="H458">
        <v>3</v>
      </c>
      <c r="I458">
        <v>1199</v>
      </c>
      <c r="J458">
        <v>0.05</v>
      </c>
      <c r="K458">
        <v>2061.54</v>
      </c>
      <c r="L458" t="s">
        <v>44</v>
      </c>
    </row>
    <row r="459" spans="1:12" x14ac:dyDescent="0.3">
      <c r="A459" t="s">
        <v>788</v>
      </c>
      <c r="B459" t="s">
        <v>769</v>
      </c>
      <c r="C459" t="s">
        <v>82</v>
      </c>
      <c r="D459" t="s">
        <v>15</v>
      </c>
      <c r="E459" t="s">
        <v>31</v>
      </c>
      <c r="F459" t="s">
        <v>17</v>
      </c>
      <c r="G459" t="s">
        <v>74</v>
      </c>
      <c r="H459">
        <v>2</v>
      </c>
      <c r="I459">
        <v>240</v>
      </c>
      <c r="J459">
        <v>0.05</v>
      </c>
      <c r="K459">
        <v>323.7</v>
      </c>
      <c r="L459" t="s">
        <v>44</v>
      </c>
    </row>
    <row r="460" spans="1:12" x14ac:dyDescent="0.3">
      <c r="A460" t="s">
        <v>789</v>
      </c>
      <c r="B460" t="s">
        <v>204</v>
      </c>
      <c r="C460" t="s">
        <v>73</v>
      </c>
      <c r="D460" t="s">
        <v>23</v>
      </c>
      <c r="E460" t="s">
        <v>59</v>
      </c>
      <c r="F460" t="s">
        <v>39</v>
      </c>
      <c r="G460" t="s">
        <v>210</v>
      </c>
      <c r="H460">
        <v>3</v>
      </c>
      <c r="I460">
        <v>1999</v>
      </c>
      <c r="J460">
        <v>0.15</v>
      </c>
      <c r="K460">
        <v>3338.73</v>
      </c>
      <c r="L460" t="s">
        <v>27</v>
      </c>
    </row>
    <row r="461" spans="1:12" x14ac:dyDescent="0.3">
      <c r="A461" t="s">
        <v>790</v>
      </c>
      <c r="B461" t="s">
        <v>632</v>
      </c>
      <c r="C461" t="s">
        <v>22</v>
      </c>
      <c r="D461" t="s">
        <v>15</v>
      </c>
      <c r="E461" t="s">
        <v>31</v>
      </c>
      <c r="F461" t="s">
        <v>25</v>
      </c>
      <c r="G461" t="s">
        <v>70</v>
      </c>
      <c r="H461">
        <v>3</v>
      </c>
      <c r="I461">
        <v>1299</v>
      </c>
      <c r="J461">
        <v>0</v>
      </c>
      <c r="K461">
        <v>2337.8200000000002</v>
      </c>
      <c r="L461" t="s">
        <v>34</v>
      </c>
    </row>
    <row r="462" spans="1:12" x14ac:dyDescent="0.3">
      <c r="A462" t="s">
        <v>791</v>
      </c>
      <c r="B462" t="s">
        <v>792</v>
      </c>
      <c r="C462" t="s">
        <v>37</v>
      </c>
      <c r="D462" t="s">
        <v>15</v>
      </c>
      <c r="E462" t="s">
        <v>16</v>
      </c>
      <c r="F462" t="s">
        <v>17</v>
      </c>
      <c r="G462" t="s">
        <v>89</v>
      </c>
      <c r="H462">
        <v>4</v>
      </c>
      <c r="I462">
        <v>650</v>
      </c>
      <c r="J462">
        <v>0.15</v>
      </c>
      <c r="K462">
        <v>1903.09</v>
      </c>
      <c r="L462" t="s">
        <v>67</v>
      </c>
    </row>
    <row r="463" spans="1:12" x14ac:dyDescent="0.3">
      <c r="A463" t="s">
        <v>793</v>
      </c>
      <c r="B463" t="s">
        <v>718</v>
      </c>
      <c r="C463" t="s">
        <v>82</v>
      </c>
      <c r="D463" t="s">
        <v>15</v>
      </c>
      <c r="E463" t="s">
        <v>59</v>
      </c>
      <c r="F463" t="s">
        <v>39</v>
      </c>
      <c r="G463" t="s">
        <v>210</v>
      </c>
      <c r="H463">
        <v>3</v>
      </c>
      <c r="I463">
        <v>1999</v>
      </c>
      <c r="J463">
        <v>0.2</v>
      </c>
      <c r="K463">
        <v>4485.12</v>
      </c>
      <c r="L463" t="s">
        <v>44</v>
      </c>
    </row>
    <row r="464" spans="1:12" x14ac:dyDescent="0.3">
      <c r="A464" t="s">
        <v>794</v>
      </c>
      <c r="B464" t="s">
        <v>635</v>
      </c>
      <c r="C464" t="s">
        <v>43</v>
      </c>
      <c r="D464" t="s">
        <v>23</v>
      </c>
      <c r="E464" t="s">
        <v>47</v>
      </c>
      <c r="F464" t="s">
        <v>25</v>
      </c>
      <c r="G464" t="s">
        <v>79</v>
      </c>
      <c r="H464">
        <v>7</v>
      </c>
      <c r="I464">
        <v>899</v>
      </c>
      <c r="J464">
        <v>0.15</v>
      </c>
      <c r="K464">
        <v>3710.76</v>
      </c>
      <c r="L464" t="s">
        <v>27</v>
      </c>
    </row>
    <row r="465" spans="1:12" x14ac:dyDescent="0.3">
      <c r="A465" t="s">
        <v>795</v>
      </c>
      <c r="B465" t="s">
        <v>602</v>
      </c>
      <c r="C465" t="s">
        <v>76</v>
      </c>
      <c r="D465" t="s">
        <v>23</v>
      </c>
      <c r="E465" t="s">
        <v>31</v>
      </c>
      <c r="F465" t="s">
        <v>25</v>
      </c>
      <c r="G465" t="s">
        <v>79</v>
      </c>
      <c r="H465">
        <v>8</v>
      </c>
      <c r="I465">
        <v>899</v>
      </c>
      <c r="J465">
        <v>0.2</v>
      </c>
      <c r="K465">
        <v>5249.76</v>
      </c>
      <c r="L465" t="s">
        <v>19</v>
      </c>
    </row>
    <row r="466" spans="1:12" x14ac:dyDescent="0.3">
      <c r="A466" t="s">
        <v>796</v>
      </c>
      <c r="B466" t="s">
        <v>243</v>
      </c>
      <c r="C466" t="s">
        <v>14</v>
      </c>
      <c r="D466" t="s">
        <v>15</v>
      </c>
      <c r="E466" t="s">
        <v>59</v>
      </c>
      <c r="F466" t="s">
        <v>39</v>
      </c>
      <c r="G466" t="s">
        <v>210</v>
      </c>
      <c r="H466">
        <v>1</v>
      </c>
      <c r="I466">
        <v>1999</v>
      </c>
      <c r="J466">
        <v>0.15</v>
      </c>
      <c r="K466">
        <v>1412.52</v>
      </c>
      <c r="L466" t="s">
        <v>44</v>
      </c>
    </row>
    <row r="467" spans="1:12" x14ac:dyDescent="0.3">
      <c r="A467" t="s">
        <v>797</v>
      </c>
      <c r="B467" t="s">
        <v>241</v>
      </c>
      <c r="C467" t="s">
        <v>76</v>
      </c>
      <c r="D467" t="s">
        <v>23</v>
      </c>
      <c r="E467" t="s">
        <v>31</v>
      </c>
      <c r="F467" t="s">
        <v>32</v>
      </c>
      <c r="G467" t="s">
        <v>97</v>
      </c>
      <c r="H467">
        <v>6</v>
      </c>
      <c r="I467">
        <v>899</v>
      </c>
      <c r="J467">
        <v>0.2</v>
      </c>
      <c r="K467">
        <v>4268.74</v>
      </c>
      <c r="L467" t="s">
        <v>19</v>
      </c>
    </row>
    <row r="468" spans="1:12" x14ac:dyDescent="0.3">
      <c r="A468" t="s">
        <v>798</v>
      </c>
      <c r="B468" t="s">
        <v>799</v>
      </c>
      <c r="C468" t="s">
        <v>37</v>
      </c>
      <c r="D468" t="s">
        <v>15</v>
      </c>
      <c r="E468" t="s">
        <v>38</v>
      </c>
      <c r="F468" t="s">
        <v>32</v>
      </c>
      <c r="G468" t="s">
        <v>60</v>
      </c>
      <c r="H468">
        <v>2</v>
      </c>
      <c r="I468">
        <v>1299</v>
      </c>
      <c r="J468">
        <v>0.1</v>
      </c>
      <c r="K468">
        <v>1895.21</v>
      </c>
      <c r="L468" t="s">
        <v>19</v>
      </c>
    </row>
    <row r="469" spans="1:12" x14ac:dyDescent="0.3">
      <c r="A469" t="s">
        <v>800</v>
      </c>
      <c r="B469" t="s">
        <v>521</v>
      </c>
      <c r="C469" t="s">
        <v>63</v>
      </c>
      <c r="D469" t="s">
        <v>15</v>
      </c>
      <c r="E469" t="s">
        <v>24</v>
      </c>
      <c r="F469" t="s">
        <v>25</v>
      </c>
      <c r="G469" t="s">
        <v>70</v>
      </c>
      <c r="H469">
        <v>2</v>
      </c>
      <c r="I469">
        <v>1299</v>
      </c>
      <c r="J469">
        <v>0.2</v>
      </c>
      <c r="K469">
        <v>1434.51</v>
      </c>
      <c r="L469" t="s">
        <v>34</v>
      </c>
    </row>
    <row r="470" spans="1:12" x14ac:dyDescent="0.3">
      <c r="A470" t="s">
        <v>801</v>
      </c>
      <c r="B470" t="s">
        <v>212</v>
      </c>
      <c r="C470" t="s">
        <v>43</v>
      </c>
      <c r="D470" t="s">
        <v>23</v>
      </c>
      <c r="E470" t="s">
        <v>38</v>
      </c>
      <c r="F470" t="s">
        <v>25</v>
      </c>
      <c r="G470" t="s">
        <v>79</v>
      </c>
      <c r="H470">
        <v>7</v>
      </c>
      <c r="I470">
        <v>899</v>
      </c>
      <c r="J470">
        <v>0.2</v>
      </c>
      <c r="K470">
        <v>3939.98</v>
      </c>
      <c r="L470" t="s">
        <v>19</v>
      </c>
    </row>
    <row r="471" spans="1:12" x14ac:dyDescent="0.3">
      <c r="A471" t="s">
        <v>802</v>
      </c>
      <c r="B471" t="s">
        <v>84</v>
      </c>
      <c r="C471" t="s">
        <v>22</v>
      </c>
      <c r="D471" t="s">
        <v>23</v>
      </c>
      <c r="E471" t="s">
        <v>47</v>
      </c>
      <c r="F471" t="s">
        <v>17</v>
      </c>
      <c r="G471" t="s">
        <v>86</v>
      </c>
      <c r="H471">
        <v>4</v>
      </c>
      <c r="I471">
        <v>55</v>
      </c>
      <c r="J471">
        <v>0.15</v>
      </c>
      <c r="K471">
        <v>157.44</v>
      </c>
      <c r="L471" t="s">
        <v>19</v>
      </c>
    </row>
    <row r="472" spans="1:12" x14ac:dyDescent="0.3">
      <c r="A472" t="s">
        <v>803</v>
      </c>
      <c r="B472" t="s">
        <v>715</v>
      </c>
      <c r="C472" t="s">
        <v>82</v>
      </c>
      <c r="D472" t="s">
        <v>23</v>
      </c>
      <c r="E472" t="s">
        <v>47</v>
      </c>
      <c r="F472" t="s">
        <v>32</v>
      </c>
      <c r="G472" t="s">
        <v>51</v>
      </c>
      <c r="H472">
        <v>5</v>
      </c>
      <c r="I472">
        <v>699</v>
      </c>
      <c r="J472">
        <v>0.2</v>
      </c>
      <c r="K472">
        <v>2283.31</v>
      </c>
      <c r="L472" t="s">
        <v>67</v>
      </c>
    </row>
    <row r="473" spans="1:12" x14ac:dyDescent="0.3">
      <c r="A473" t="s">
        <v>804</v>
      </c>
      <c r="B473" t="s">
        <v>378</v>
      </c>
      <c r="C473" t="s">
        <v>14</v>
      </c>
      <c r="D473" t="s">
        <v>15</v>
      </c>
      <c r="E473" t="s">
        <v>59</v>
      </c>
      <c r="F473" t="s">
        <v>39</v>
      </c>
      <c r="G473" t="s">
        <v>48</v>
      </c>
      <c r="H473">
        <v>4</v>
      </c>
      <c r="I473">
        <v>799</v>
      </c>
      <c r="J473">
        <v>0.2</v>
      </c>
      <c r="K473">
        <v>2141.86</v>
      </c>
      <c r="L473" t="s">
        <v>44</v>
      </c>
    </row>
    <row r="474" spans="1:12" x14ac:dyDescent="0.3">
      <c r="A474" t="s">
        <v>805</v>
      </c>
      <c r="B474" t="s">
        <v>410</v>
      </c>
      <c r="C474" t="s">
        <v>22</v>
      </c>
      <c r="D474" t="s">
        <v>15</v>
      </c>
      <c r="E474" t="s">
        <v>31</v>
      </c>
      <c r="F474" t="s">
        <v>32</v>
      </c>
      <c r="G474" t="s">
        <v>103</v>
      </c>
      <c r="H474">
        <v>2</v>
      </c>
      <c r="I474">
        <v>499</v>
      </c>
      <c r="J474">
        <v>0.05</v>
      </c>
      <c r="K474">
        <v>690.12</v>
      </c>
      <c r="L474" t="s">
        <v>19</v>
      </c>
    </row>
    <row r="475" spans="1:12" x14ac:dyDescent="0.3">
      <c r="A475" t="s">
        <v>806</v>
      </c>
      <c r="B475" t="s">
        <v>807</v>
      </c>
      <c r="C475" t="s">
        <v>14</v>
      </c>
      <c r="D475" t="s">
        <v>15</v>
      </c>
      <c r="E475" t="s">
        <v>38</v>
      </c>
      <c r="F475" t="s">
        <v>39</v>
      </c>
      <c r="G475" t="s">
        <v>106</v>
      </c>
      <c r="H475">
        <v>2</v>
      </c>
      <c r="I475">
        <v>999</v>
      </c>
      <c r="J475">
        <v>0.2</v>
      </c>
      <c r="K475">
        <v>1121.53</v>
      </c>
      <c r="L475" t="s">
        <v>67</v>
      </c>
    </row>
    <row r="476" spans="1:12" x14ac:dyDescent="0.3">
      <c r="A476" t="s">
        <v>808</v>
      </c>
      <c r="B476" t="s">
        <v>809</v>
      </c>
      <c r="C476" t="s">
        <v>22</v>
      </c>
      <c r="D476" t="s">
        <v>23</v>
      </c>
      <c r="E476" t="s">
        <v>16</v>
      </c>
      <c r="F476" t="s">
        <v>25</v>
      </c>
      <c r="G476" t="s">
        <v>79</v>
      </c>
      <c r="H476">
        <v>8</v>
      </c>
      <c r="I476">
        <v>899</v>
      </c>
      <c r="J476">
        <v>0.15</v>
      </c>
      <c r="K476">
        <v>3978.71</v>
      </c>
      <c r="L476" t="s">
        <v>19</v>
      </c>
    </row>
    <row r="477" spans="1:12" x14ac:dyDescent="0.3">
      <c r="A477" t="s">
        <v>810</v>
      </c>
      <c r="B477" t="s">
        <v>105</v>
      </c>
      <c r="C477" t="s">
        <v>30</v>
      </c>
      <c r="D477" t="s">
        <v>15</v>
      </c>
      <c r="E477" t="s">
        <v>47</v>
      </c>
      <c r="F477" t="s">
        <v>39</v>
      </c>
      <c r="G477" t="s">
        <v>210</v>
      </c>
      <c r="H477">
        <v>3</v>
      </c>
      <c r="I477">
        <v>1999</v>
      </c>
      <c r="J477">
        <v>0</v>
      </c>
      <c r="K477">
        <v>3945.56</v>
      </c>
      <c r="L477" t="s">
        <v>27</v>
      </c>
    </row>
    <row r="478" spans="1:12" x14ac:dyDescent="0.3">
      <c r="A478" t="s">
        <v>811</v>
      </c>
      <c r="B478" t="s">
        <v>72</v>
      </c>
      <c r="C478" t="s">
        <v>14</v>
      </c>
      <c r="D478" t="s">
        <v>23</v>
      </c>
      <c r="E478" t="s">
        <v>59</v>
      </c>
      <c r="F478" t="s">
        <v>17</v>
      </c>
      <c r="G478" t="s">
        <v>86</v>
      </c>
      <c r="H478">
        <v>7</v>
      </c>
      <c r="I478">
        <v>55</v>
      </c>
      <c r="J478">
        <v>0.2</v>
      </c>
      <c r="K478">
        <v>234.89</v>
      </c>
      <c r="L478" t="s">
        <v>27</v>
      </c>
    </row>
    <row r="479" spans="1:12" x14ac:dyDescent="0.3">
      <c r="A479" t="s">
        <v>812</v>
      </c>
      <c r="B479" t="s">
        <v>606</v>
      </c>
      <c r="C479" t="s">
        <v>14</v>
      </c>
      <c r="D479" t="s">
        <v>15</v>
      </c>
      <c r="E479" t="s">
        <v>47</v>
      </c>
      <c r="F479" t="s">
        <v>17</v>
      </c>
      <c r="G479" t="s">
        <v>74</v>
      </c>
      <c r="H479">
        <v>6</v>
      </c>
      <c r="I479">
        <v>240</v>
      </c>
      <c r="J479">
        <v>0.1</v>
      </c>
      <c r="K479">
        <v>1208.1400000000001</v>
      </c>
      <c r="L479" t="s">
        <v>44</v>
      </c>
    </row>
    <row r="480" spans="1:12" x14ac:dyDescent="0.3">
      <c r="A480" t="s">
        <v>813</v>
      </c>
      <c r="B480" t="s">
        <v>814</v>
      </c>
      <c r="C480" t="s">
        <v>22</v>
      </c>
      <c r="D480" t="s">
        <v>15</v>
      </c>
      <c r="E480" t="s">
        <v>59</v>
      </c>
      <c r="F480" t="s">
        <v>32</v>
      </c>
      <c r="G480" t="s">
        <v>33</v>
      </c>
      <c r="H480">
        <v>1</v>
      </c>
      <c r="I480">
        <v>1499</v>
      </c>
      <c r="J480">
        <v>0.1</v>
      </c>
      <c r="K480">
        <v>903.16</v>
      </c>
      <c r="L480" t="s">
        <v>19</v>
      </c>
    </row>
    <row r="481" spans="1:12" x14ac:dyDescent="0.3">
      <c r="A481" t="s">
        <v>815</v>
      </c>
      <c r="B481" t="s">
        <v>657</v>
      </c>
      <c r="C481" t="s">
        <v>76</v>
      </c>
      <c r="D481" t="s">
        <v>15</v>
      </c>
      <c r="E481" t="s">
        <v>47</v>
      </c>
      <c r="F481" t="s">
        <v>17</v>
      </c>
      <c r="G481" t="s">
        <v>113</v>
      </c>
      <c r="H481">
        <v>2</v>
      </c>
      <c r="I481">
        <v>180</v>
      </c>
      <c r="J481">
        <v>0.2</v>
      </c>
      <c r="K481">
        <v>301.32</v>
      </c>
      <c r="L481" t="s">
        <v>19</v>
      </c>
    </row>
    <row r="482" spans="1:12" x14ac:dyDescent="0.3">
      <c r="A482" t="s">
        <v>816</v>
      </c>
      <c r="B482" t="s">
        <v>180</v>
      </c>
      <c r="C482" t="s">
        <v>63</v>
      </c>
      <c r="D482" t="s">
        <v>23</v>
      </c>
      <c r="E482" t="s">
        <v>59</v>
      </c>
      <c r="F482" t="s">
        <v>32</v>
      </c>
      <c r="G482" t="s">
        <v>60</v>
      </c>
      <c r="H482">
        <v>6</v>
      </c>
      <c r="I482">
        <v>1299</v>
      </c>
      <c r="J482">
        <v>0.15</v>
      </c>
      <c r="K482">
        <v>5880.4</v>
      </c>
      <c r="L482" t="s">
        <v>19</v>
      </c>
    </row>
    <row r="483" spans="1:12" x14ac:dyDescent="0.3">
      <c r="A483" t="s">
        <v>817</v>
      </c>
      <c r="B483" t="s">
        <v>818</v>
      </c>
      <c r="C483" t="s">
        <v>73</v>
      </c>
      <c r="D483" t="s">
        <v>15</v>
      </c>
      <c r="E483" t="s">
        <v>38</v>
      </c>
      <c r="F483" t="s">
        <v>25</v>
      </c>
      <c r="G483" t="s">
        <v>250</v>
      </c>
      <c r="H483">
        <v>4</v>
      </c>
      <c r="I483">
        <v>299</v>
      </c>
      <c r="J483">
        <v>0.05</v>
      </c>
      <c r="K483">
        <v>944.9</v>
      </c>
      <c r="L483" t="s">
        <v>67</v>
      </c>
    </row>
    <row r="484" spans="1:12" x14ac:dyDescent="0.3">
      <c r="A484" t="s">
        <v>819</v>
      </c>
      <c r="B484" t="s">
        <v>820</v>
      </c>
      <c r="C484" t="s">
        <v>76</v>
      </c>
      <c r="D484" t="s">
        <v>15</v>
      </c>
      <c r="E484" t="s">
        <v>16</v>
      </c>
      <c r="F484" t="s">
        <v>17</v>
      </c>
      <c r="G484" t="s">
        <v>18</v>
      </c>
      <c r="H484">
        <v>5</v>
      </c>
      <c r="I484">
        <v>420</v>
      </c>
      <c r="J484">
        <v>0</v>
      </c>
      <c r="K484">
        <v>1406.33</v>
      </c>
      <c r="L484" t="s">
        <v>44</v>
      </c>
    </row>
    <row r="485" spans="1:12" x14ac:dyDescent="0.3">
      <c r="A485" t="s">
        <v>821</v>
      </c>
      <c r="B485" t="s">
        <v>101</v>
      </c>
      <c r="C485" t="s">
        <v>76</v>
      </c>
      <c r="D485" t="s">
        <v>15</v>
      </c>
      <c r="E485" t="s">
        <v>59</v>
      </c>
      <c r="F485" t="s">
        <v>17</v>
      </c>
      <c r="G485" t="s">
        <v>113</v>
      </c>
      <c r="H485">
        <v>4</v>
      </c>
      <c r="I485">
        <v>180</v>
      </c>
      <c r="J485">
        <v>0.2</v>
      </c>
      <c r="K485">
        <v>454.12</v>
      </c>
      <c r="L485" t="s">
        <v>34</v>
      </c>
    </row>
    <row r="486" spans="1:12" x14ac:dyDescent="0.3">
      <c r="A486" t="s">
        <v>822</v>
      </c>
      <c r="B486" t="s">
        <v>380</v>
      </c>
      <c r="C486" t="s">
        <v>30</v>
      </c>
      <c r="D486" t="s">
        <v>15</v>
      </c>
      <c r="E486" t="s">
        <v>16</v>
      </c>
      <c r="F486" t="s">
        <v>39</v>
      </c>
      <c r="G486" t="s">
        <v>106</v>
      </c>
      <c r="H486">
        <v>4</v>
      </c>
      <c r="I486">
        <v>999</v>
      </c>
      <c r="J486">
        <v>0.05</v>
      </c>
      <c r="K486">
        <v>2440.88</v>
      </c>
      <c r="L486" t="s">
        <v>34</v>
      </c>
    </row>
    <row r="487" spans="1:12" x14ac:dyDescent="0.3">
      <c r="A487" t="s">
        <v>823</v>
      </c>
      <c r="B487" t="s">
        <v>824</v>
      </c>
      <c r="C487" t="s">
        <v>43</v>
      </c>
      <c r="D487" t="s">
        <v>15</v>
      </c>
      <c r="E487" t="s">
        <v>24</v>
      </c>
      <c r="F487" t="s">
        <v>25</v>
      </c>
      <c r="G487" t="s">
        <v>26</v>
      </c>
      <c r="H487">
        <v>8</v>
      </c>
      <c r="I487">
        <v>599</v>
      </c>
      <c r="J487">
        <v>0.2</v>
      </c>
      <c r="K487">
        <v>2645.12</v>
      </c>
      <c r="L487" t="s">
        <v>19</v>
      </c>
    </row>
    <row r="488" spans="1:12" x14ac:dyDescent="0.3">
      <c r="A488" t="s">
        <v>825</v>
      </c>
      <c r="B488" t="s">
        <v>653</v>
      </c>
      <c r="C488" t="s">
        <v>73</v>
      </c>
      <c r="D488" t="s">
        <v>23</v>
      </c>
      <c r="E488" t="s">
        <v>47</v>
      </c>
      <c r="F488" t="s">
        <v>17</v>
      </c>
      <c r="G488" t="s">
        <v>86</v>
      </c>
      <c r="H488">
        <v>5</v>
      </c>
      <c r="I488">
        <v>55</v>
      </c>
      <c r="J488">
        <v>0.15</v>
      </c>
      <c r="K488">
        <v>166.34</v>
      </c>
      <c r="L488" t="s">
        <v>19</v>
      </c>
    </row>
    <row r="489" spans="1:12" x14ac:dyDescent="0.3">
      <c r="A489" t="s">
        <v>826</v>
      </c>
      <c r="B489" t="s">
        <v>827</v>
      </c>
      <c r="C489" t="s">
        <v>37</v>
      </c>
      <c r="D489" t="s">
        <v>15</v>
      </c>
      <c r="E489" t="s">
        <v>47</v>
      </c>
      <c r="F489" t="s">
        <v>39</v>
      </c>
      <c r="G489" t="s">
        <v>48</v>
      </c>
      <c r="H489">
        <v>7</v>
      </c>
      <c r="I489">
        <v>799</v>
      </c>
      <c r="J489">
        <v>0.15</v>
      </c>
      <c r="K489">
        <v>4652.8</v>
      </c>
      <c r="L489" t="s">
        <v>27</v>
      </c>
    </row>
    <row r="490" spans="1:12" x14ac:dyDescent="0.3">
      <c r="A490" t="s">
        <v>828</v>
      </c>
      <c r="B490" t="s">
        <v>243</v>
      </c>
      <c r="C490" t="s">
        <v>43</v>
      </c>
      <c r="D490" t="s">
        <v>23</v>
      </c>
      <c r="E490" t="s">
        <v>16</v>
      </c>
      <c r="F490" t="s">
        <v>39</v>
      </c>
      <c r="G490" t="s">
        <v>66</v>
      </c>
      <c r="H490">
        <v>2</v>
      </c>
      <c r="I490">
        <v>1199</v>
      </c>
      <c r="J490">
        <v>0.2</v>
      </c>
      <c r="K490">
        <v>1649.87</v>
      </c>
      <c r="L490" t="s">
        <v>27</v>
      </c>
    </row>
    <row r="491" spans="1:12" x14ac:dyDescent="0.3">
      <c r="A491" t="s">
        <v>829</v>
      </c>
      <c r="B491" t="s">
        <v>184</v>
      </c>
      <c r="C491" t="s">
        <v>30</v>
      </c>
      <c r="D491" t="s">
        <v>23</v>
      </c>
      <c r="E491" t="s">
        <v>47</v>
      </c>
      <c r="F491" t="s">
        <v>25</v>
      </c>
      <c r="G491" t="s">
        <v>56</v>
      </c>
      <c r="H491">
        <v>6</v>
      </c>
      <c r="I491">
        <v>1499</v>
      </c>
      <c r="J491">
        <v>0.2</v>
      </c>
      <c r="K491">
        <v>7272.12</v>
      </c>
      <c r="L491" t="s">
        <v>34</v>
      </c>
    </row>
    <row r="492" spans="1:12" x14ac:dyDescent="0.3">
      <c r="A492" t="s">
        <v>830</v>
      </c>
      <c r="B492" t="s">
        <v>290</v>
      </c>
      <c r="C492" t="s">
        <v>63</v>
      </c>
      <c r="D492" t="s">
        <v>15</v>
      </c>
      <c r="E492" t="s">
        <v>38</v>
      </c>
      <c r="F492" t="s">
        <v>32</v>
      </c>
      <c r="G492" t="s">
        <v>33</v>
      </c>
      <c r="H492">
        <v>6</v>
      </c>
      <c r="I492">
        <v>1499</v>
      </c>
      <c r="J492">
        <v>0.1</v>
      </c>
      <c r="K492">
        <v>5442.94</v>
      </c>
      <c r="L492" t="s">
        <v>67</v>
      </c>
    </row>
    <row r="493" spans="1:12" x14ac:dyDescent="0.3">
      <c r="A493" t="s">
        <v>831</v>
      </c>
      <c r="B493" t="s">
        <v>740</v>
      </c>
      <c r="C493" t="s">
        <v>37</v>
      </c>
      <c r="D493" t="s">
        <v>23</v>
      </c>
      <c r="E493" t="s">
        <v>38</v>
      </c>
      <c r="F493" t="s">
        <v>32</v>
      </c>
      <c r="G493" t="s">
        <v>51</v>
      </c>
      <c r="H493">
        <v>8</v>
      </c>
      <c r="I493">
        <v>699</v>
      </c>
      <c r="J493">
        <v>0.05</v>
      </c>
      <c r="K493">
        <v>4034.2</v>
      </c>
      <c r="L493" t="s">
        <v>19</v>
      </c>
    </row>
    <row r="494" spans="1:12" x14ac:dyDescent="0.3">
      <c r="A494" t="s">
        <v>832</v>
      </c>
      <c r="B494" t="s">
        <v>833</v>
      </c>
      <c r="C494" t="s">
        <v>30</v>
      </c>
      <c r="D494" t="s">
        <v>15</v>
      </c>
      <c r="E494" t="s">
        <v>16</v>
      </c>
      <c r="F494" t="s">
        <v>17</v>
      </c>
      <c r="G494" t="s">
        <v>18</v>
      </c>
      <c r="H494">
        <v>7</v>
      </c>
      <c r="I494">
        <v>420</v>
      </c>
      <c r="J494">
        <v>0.15</v>
      </c>
      <c r="K494">
        <v>1789.93</v>
      </c>
      <c r="L494" t="s">
        <v>34</v>
      </c>
    </row>
    <row r="495" spans="1:12" x14ac:dyDescent="0.3">
      <c r="A495" t="s">
        <v>834</v>
      </c>
      <c r="B495" t="s">
        <v>149</v>
      </c>
      <c r="C495" t="s">
        <v>92</v>
      </c>
      <c r="D495" t="s">
        <v>15</v>
      </c>
      <c r="E495" t="s">
        <v>59</v>
      </c>
      <c r="F495" t="s">
        <v>32</v>
      </c>
      <c r="G495" t="s">
        <v>60</v>
      </c>
      <c r="H495">
        <v>6</v>
      </c>
      <c r="I495">
        <v>1299</v>
      </c>
      <c r="J495">
        <v>0.15</v>
      </c>
      <c r="K495">
        <v>4988.24</v>
      </c>
      <c r="L495" t="s">
        <v>19</v>
      </c>
    </row>
    <row r="496" spans="1:12" x14ac:dyDescent="0.3">
      <c r="A496" t="s">
        <v>835</v>
      </c>
      <c r="B496" t="s">
        <v>306</v>
      </c>
      <c r="C496" t="s">
        <v>92</v>
      </c>
      <c r="D496" t="s">
        <v>23</v>
      </c>
      <c r="E496" t="s">
        <v>24</v>
      </c>
      <c r="F496" t="s">
        <v>39</v>
      </c>
      <c r="G496" t="s">
        <v>48</v>
      </c>
      <c r="H496">
        <v>4</v>
      </c>
      <c r="I496">
        <v>799</v>
      </c>
      <c r="J496">
        <v>0.1</v>
      </c>
      <c r="K496">
        <v>2214.71</v>
      </c>
      <c r="L496" t="s">
        <v>27</v>
      </c>
    </row>
    <row r="497" spans="1:12" x14ac:dyDescent="0.3">
      <c r="A497" t="s">
        <v>104</v>
      </c>
      <c r="B497" t="s">
        <v>105</v>
      </c>
      <c r="C497" t="s">
        <v>37</v>
      </c>
      <c r="D497" t="s">
        <v>23</v>
      </c>
      <c r="E497" t="s">
        <v>31</v>
      </c>
      <c r="F497" t="s">
        <v>39</v>
      </c>
      <c r="G497" t="s">
        <v>106</v>
      </c>
      <c r="H497">
        <v>4</v>
      </c>
      <c r="I497">
        <v>999</v>
      </c>
      <c r="J497">
        <v>0</v>
      </c>
      <c r="K497">
        <v>2892.12</v>
      </c>
      <c r="L497" t="s">
        <v>19</v>
      </c>
    </row>
    <row r="498" spans="1:12" x14ac:dyDescent="0.3">
      <c r="A498" t="s">
        <v>294</v>
      </c>
      <c r="B498" t="s">
        <v>295</v>
      </c>
      <c r="C498" t="s">
        <v>14</v>
      </c>
      <c r="D498" t="s">
        <v>15</v>
      </c>
      <c r="E498" t="s">
        <v>24</v>
      </c>
      <c r="F498" t="s">
        <v>32</v>
      </c>
      <c r="G498" t="s">
        <v>103</v>
      </c>
      <c r="H498">
        <v>6</v>
      </c>
      <c r="I498">
        <v>499</v>
      </c>
      <c r="J498">
        <v>0.05</v>
      </c>
      <c r="K498">
        <v>2146.4299999999998</v>
      </c>
      <c r="L498" t="s">
        <v>19</v>
      </c>
    </row>
    <row r="499" spans="1:12" x14ac:dyDescent="0.3">
      <c r="A499" t="s">
        <v>836</v>
      </c>
      <c r="B499" t="s">
        <v>723</v>
      </c>
      <c r="C499" t="s">
        <v>14</v>
      </c>
      <c r="D499" t="s">
        <v>23</v>
      </c>
      <c r="E499" t="s">
        <v>47</v>
      </c>
      <c r="F499" t="s">
        <v>17</v>
      </c>
      <c r="G499" t="s">
        <v>86</v>
      </c>
      <c r="H499">
        <v>3</v>
      </c>
      <c r="I499">
        <v>55</v>
      </c>
      <c r="J499">
        <v>0.05</v>
      </c>
      <c r="K499">
        <v>122.46</v>
      </c>
      <c r="L499" t="s">
        <v>44</v>
      </c>
    </row>
    <row r="500" spans="1:12" x14ac:dyDescent="0.3">
      <c r="A500" t="s">
        <v>837</v>
      </c>
      <c r="B500" t="s">
        <v>511</v>
      </c>
      <c r="C500" t="s">
        <v>22</v>
      </c>
      <c r="D500" t="s">
        <v>23</v>
      </c>
      <c r="E500" t="s">
        <v>24</v>
      </c>
      <c r="F500" t="s">
        <v>25</v>
      </c>
      <c r="G500" t="s">
        <v>79</v>
      </c>
      <c r="H500">
        <v>6</v>
      </c>
      <c r="I500">
        <v>899</v>
      </c>
      <c r="J500">
        <v>0.05</v>
      </c>
      <c r="K500">
        <v>3473.98</v>
      </c>
      <c r="L500" t="s">
        <v>44</v>
      </c>
    </row>
    <row r="501" spans="1:12" x14ac:dyDescent="0.3">
      <c r="A501" t="s">
        <v>838</v>
      </c>
      <c r="B501" t="s">
        <v>742</v>
      </c>
      <c r="C501" t="s">
        <v>63</v>
      </c>
      <c r="D501" t="s">
        <v>23</v>
      </c>
      <c r="E501" t="s">
        <v>38</v>
      </c>
      <c r="F501" t="s">
        <v>32</v>
      </c>
      <c r="G501" t="s">
        <v>51</v>
      </c>
      <c r="H501">
        <v>8</v>
      </c>
      <c r="I501">
        <v>699</v>
      </c>
      <c r="J501">
        <v>0.15</v>
      </c>
      <c r="K501">
        <v>3356.29</v>
      </c>
      <c r="L501"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A4A1B-830E-4C5A-A2EA-B7B1B8854D56}">
  <dimension ref="A1:T1048560"/>
  <sheetViews>
    <sheetView topLeftCell="F1" workbookViewId="0">
      <selection activeCell="R2" sqref="R2:R502"/>
    </sheetView>
  </sheetViews>
  <sheetFormatPr defaultRowHeight="14.4" x14ac:dyDescent="0.3"/>
  <cols>
    <col min="1" max="1" width="10.44140625" customWidth="1"/>
    <col min="2" max="2" width="12.5546875" customWidth="1"/>
    <col min="3" max="3" width="8.21875" customWidth="1"/>
    <col min="4" max="4" width="11.5546875" customWidth="1"/>
    <col min="5" max="5" width="14.44140625" customWidth="1"/>
    <col min="7" max="7" width="10.44140625" customWidth="1"/>
    <col min="8" max="8" width="9.5546875" customWidth="1"/>
    <col min="9" max="9" width="10.21875" customWidth="1"/>
    <col min="10" max="10" width="11.5546875" customWidth="1"/>
    <col min="11" max="11" width="10.21875" customWidth="1"/>
    <col min="13" max="13" width="16.44140625" customWidth="1"/>
    <col min="14" max="14" width="13.44140625" customWidth="1"/>
    <col min="16" max="16" width="17" customWidth="1"/>
    <col min="18" max="18" width="11.88671875" bestFit="1" customWidth="1"/>
    <col min="19" max="19" width="13.6640625" customWidth="1"/>
  </cols>
  <sheetData>
    <row r="1" spans="1:20" ht="15" thickBot="1" x14ac:dyDescent="0.35">
      <c r="A1" s="4" t="s">
        <v>0</v>
      </c>
      <c r="B1" s="4" t="s">
        <v>1</v>
      </c>
      <c r="C1" s="4" t="s">
        <v>854</v>
      </c>
      <c r="D1" s="4" t="s">
        <v>855</v>
      </c>
      <c r="E1" s="4" t="s">
        <v>2</v>
      </c>
      <c r="F1" s="4" t="s">
        <v>3</v>
      </c>
      <c r="G1" s="4" t="s">
        <v>4</v>
      </c>
      <c r="H1" s="4" t="s">
        <v>5</v>
      </c>
      <c r="I1" s="4" t="s">
        <v>6</v>
      </c>
      <c r="J1" s="4" t="s">
        <v>7</v>
      </c>
      <c r="K1" s="4" t="s">
        <v>8</v>
      </c>
      <c r="L1" s="4" t="s">
        <v>9</v>
      </c>
      <c r="M1" s="4" t="s">
        <v>10</v>
      </c>
      <c r="N1" s="4" t="s">
        <v>11</v>
      </c>
      <c r="O1" s="18" t="s">
        <v>856</v>
      </c>
      <c r="P1" s="19" t="s">
        <v>857</v>
      </c>
      <c r="Q1" s="10" t="s">
        <v>858</v>
      </c>
      <c r="R1" s="10" t="s">
        <v>859</v>
      </c>
      <c r="S1" s="10" t="s">
        <v>860</v>
      </c>
    </row>
    <row r="2" spans="1:20" ht="15.6" thickTop="1" thickBot="1" x14ac:dyDescent="0.35">
      <c r="A2" s="5" t="s">
        <v>12</v>
      </c>
      <c r="B2" s="14">
        <v>46857</v>
      </c>
      <c r="C2" s="14" t="str">
        <f>TEXT(B2,"YYYY")</f>
        <v>2028</v>
      </c>
      <c r="D2" s="14" t="str">
        <f>TEXT(B2,"MM")</f>
        <v>04</v>
      </c>
      <c r="E2" s="6" t="s">
        <v>14</v>
      </c>
      <c r="F2" s="6" t="s">
        <v>15</v>
      </c>
      <c r="G2" s="6" t="s">
        <v>24</v>
      </c>
      <c r="H2" s="6" t="s">
        <v>17</v>
      </c>
      <c r="I2" s="6" t="s">
        <v>18</v>
      </c>
      <c r="J2" s="6">
        <v>4</v>
      </c>
      <c r="K2" s="6">
        <v>420</v>
      </c>
      <c r="L2" s="6">
        <v>0.05</v>
      </c>
      <c r="M2" s="6">
        <v>1295.18</v>
      </c>
      <c r="N2" s="6" t="s">
        <v>19</v>
      </c>
      <c r="O2" s="15">
        <f>J2*K2</f>
        <v>1680</v>
      </c>
      <c r="P2" s="20">
        <f>O2*L2</f>
        <v>84</v>
      </c>
      <c r="Q2">
        <f>O2-L2</f>
        <v>1679.95</v>
      </c>
      <c r="R2" s="25">
        <f>J2*(O2)</f>
        <v>6720</v>
      </c>
      <c r="S2" s="24">
        <f>IFERROR(R2 / Q2,0)</f>
        <v>4.0001190511622369</v>
      </c>
      <c r="T2" cm="1">
        <f t="array" ref="T2:T50">R2:R50</f>
        <v>6720</v>
      </c>
    </row>
    <row r="3" spans="1:20" ht="15.6" thickTop="1" thickBot="1" x14ac:dyDescent="0.35">
      <c r="A3" s="7" t="s">
        <v>20</v>
      </c>
      <c r="B3" s="14">
        <v>46858</v>
      </c>
      <c r="C3" s="14" t="str">
        <f t="shared" ref="C3:C66" si="0">TEXT(B3,"YYYY")</f>
        <v>2028</v>
      </c>
      <c r="D3" s="14" t="str">
        <f t="shared" ref="D3:D66" si="1">TEXT(B3,"MM")</f>
        <v>04</v>
      </c>
      <c r="E3" s="3" t="s">
        <v>22</v>
      </c>
      <c r="F3" s="3" t="s">
        <v>23</v>
      </c>
      <c r="G3" s="3" t="s">
        <v>31</v>
      </c>
      <c r="H3" s="3" t="s">
        <v>25</v>
      </c>
      <c r="I3" s="3" t="s">
        <v>26</v>
      </c>
      <c r="J3" s="3">
        <v>4</v>
      </c>
      <c r="K3" s="3">
        <v>599</v>
      </c>
      <c r="L3" s="3">
        <v>0.05</v>
      </c>
      <c r="M3" s="3">
        <v>1681.05</v>
      </c>
      <c r="N3" s="3" t="s">
        <v>27</v>
      </c>
      <c r="O3" s="15">
        <f t="shared" ref="O3:O66" si="2">J3*K3</f>
        <v>2396</v>
      </c>
      <c r="P3" s="20">
        <f t="shared" ref="P3:P66" si="3">O3*L3</f>
        <v>119.80000000000001</v>
      </c>
      <c r="Q3">
        <f t="shared" ref="Q3:Q33" si="4">O3-L3</f>
        <v>2395.9499999999998</v>
      </c>
      <c r="R3" s="25">
        <f t="shared" ref="R3:R66" si="5">J3*(O3)</f>
        <v>9584</v>
      </c>
      <c r="S3" s="24">
        <f t="shared" ref="S3:S66" si="6">IFERROR(R3 / Q3,0)</f>
        <v>4.0000834741960398</v>
      </c>
      <c r="T3">
        <v>9584</v>
      </c>
    </row>
    <row r="4" spans="1:20" ht="15.6" thickTop="1" thickBot="1" x14ac:dyDescent="0.35">
      <c r="A4" s="8" t="s">
        <v>28</v>
      </c>
      <c r="B4" s="14">
        <v>46859</v>
      </c>
      <c r="C4" s="14" t="str">
        <f t="shared" si="0"/>
        <v>2028</v>
      </c>
      <c r="D4" s="14" t="str">
        <f t="shared" si="1"/>
        <v>04</v>
      </c>
      <c r="E4" s="9" t="s">
        <v>30</v>
      </c>
      <c r="F4" s="9" t="s">
        <v>23</v>
      </c>
      <c r="G4" s="9" t="s">
        <v>38</v>
      </c>
      <c r="H4" s="9" t="s">
        <v>32</v>
      </c>
      <c r="I4" s="9" t="s">
        <v>33</v>
      </c>
      <c r="J4" s="9">
        <v>5</v>
      </c>
      <c r="K4" s="9">
        <v>1499</v>
      </c>
      <c r="L4" s="9">
        <v>0</v>
      </c>
      <c r="M4" s="9">
        <v>5828.43</v>
      </c>
      <c r="N4" s="9" t="s">
        <v>34</v>
      </c>
      <c r="O4" s="15">
        <f t="shared" si="2"/>
        <v>7495</v>
      </c>
      <c r="P4" s="20">
        <f t="shared" si="3"/>
        <v>0</v>
      </c>
      <c r="Q4">
        <f t="shared" si="4"/>
        <v>7495</v>
      </c>
      <c r="R4" s="25">
        <f t="shared" si="5"/>
        <v>37475</v>
      </c>
      <c r="S4" s="24">
        <f t="shared" si="6"/>
        <v>5</v>
      </c>
      <c r="T4">
        <v>37475</v>
      </c>
    </row>
    <row r="5" spans="1:20" ht="15.6" thickTop="1" thickBot="1" x14ac:dyDescent="0.35">
      <c r="A5" s="7" t="s">
        <v>35</v>
      </c>
      <c r="B5" s="14">
        <v>46860</v>
      </c>
      <c r="C5" s="14" t="str">
        <f t="shared" si="0"/>
        <v>2028</v>
      </c>
      <c r="D5" s="14" t="str">
        <f t="shared" si="1"/>
        <v>04</v>
      </c>
      <c r="E5" s="3" t="s">
        <v>37</v>
      </c>
      <c r="F5" s="3" t="s">
        <v>23</v>
      </c>
      <c r="G5" s="3" t="s">
        <v>24</v>
      </c>
      <c r="H5" s="3" t="s">
        <v>39</v>
      </c>
      <c r="I5" s="3" t="s">
        <v>40</v>
      </c>
      <c r="J5" s="3">
        <v>6</v>
      </c>
      <c r="K5" s="3">
        <v>1599</v>
      </c>
      <c r="L5" s="3">
        <v>0</v>
      </c>
      <c r="M5" s="3">
        <v>5543.64</v>
      </c>
      <c r="N5" s="3" t="s">
        <v>27</v>
      </c>
      <c r="O5" s="15">
        <f t="shared" si="2"/>
        <v>9594</v>
      </c>
      <c r="P5" s="20">
        <f t="shared" si="3"/>
        <v>0</v>
      </c>
      <c r="Q5">
        <f t="shared" si="4"/>
        <v>9594</v>
      </c>
      <c r="R5" s="25">
        <f t="shared" si="5"/>
        <v>57564</v>
      </c>
      <c r="S5" s="24">
        <f t="shared" si="6"/>
        <v>6</v>
      </c>
      <c r="T5">
        <v>57564</v>
      </c>
    </row>
    <row r="6" spans="1:20" ht="15.6" thickTop="1" thickBot="1" x14ac:dyDescent="0.35">
      <c r="A6" s="8" t="s">
        <v>41</v>
      </c>
      <c r="B6" s="14">
        <v>46861</v>
      </c>
      <c r="C6" s="14" t="str">
        <f t="shared" si="0"/>
        <v>2028</v>
      </c>
      <c r="D6" s="14" t="str">
        <f t="shared" si="1"/>
        <v>04</v>
      </c>
      <c r="E6" s="9" t="s">
        <v>43</v>
      </c>
      <c r="F6" s="9" t="s">
        <v>23</v>
      </c>
      <c r="G6" s="9" t="s">
        <v>47</v>
      </c>
      <c r="H6" s="9" t="s">
        <v>32</v>
      </c>
      <c r="I6" s="9" t="s">
        <v>33</v>
      </c>
      <c r="J6" s="9">
        <v>2</v>
      </c>
      <c r="K6" s="9">
        <v>1499</v>
      </c>
      <c r="L6" s="9">
        <v>0.15</v>
      </c>
      <c r="M6" s="9">
        <v>1719.77</v>
      </c>
      <c r="N6" s="9" t="s">
        <v>44</v>
      </c>
      <c r="O6" s="15">
        <f t="shared" si="2"/>
        <v>2998</v>
      </c>
      <c r="P6" s="20">
        <f t="shared" si="3"/>
        <v>449.7</v>
      </c>
      <c r="Q6">
        <f t="shared" si="4"/>
        <v>2997.85</v>
      </c>
      <c r="R6" s="25">
        <f t="shared" si="5"/>
        <v>5996</v>
      </c>
      <c r="S6" s="24">
        <f t="shared" si="6"/>
        <v>2.0001000717180646</v>
      </c>
      <c r="T6">
        <v>5996</v>
      </c>
    </row>
    <row r="7" spans="1:20" ht="15.6" thickTop="1" thickBot="1" x14ac:dyDescent="0.35">
      <c r="A7" s="7" t="s">
        <v>45</v>
      </c>
      <c r="B7" s="14">
        <v>46862</v>
      </c>
      <c r="C7" s="14" t="str">
        <f t="shared" si="0"/>
        <v>2028</v>
      </c>
      <c r="D7" s="14" t="str">
        <f t="shared" si="1"/>
        <v>04</v>
      </c>
      <c r="E7" s="3" t="s">
        <v>22</v>
      </c>
      <c r="F7" s="3" t="s">
        <v>23</v>
      </c>
      <c r="G7" s="3" t="s">
        <v>38</v>
      </c>
      <c r="H7" s="3" t="s">
        <v>39</v>
      </c>
      <c r="I7" s="3" t="s">
        <v>48</v>
      </c>
      <c r="J7" s="3">
        <v>1</v>
      </c>
      <c r="K7" s="3">
        <v>799</v>
      </c>
      <c r="L7" s="3">
        <v>0.05</v>
      </c>
      <c r="M7" s="3">
        <v>624.75</v>
      </c>
      <c r="N7" s="3" t="s">
        <v>27</v>
      </c>
      <c r="O7" s="15">
        <f t="shared" si="2"/>
        <v>799</v>
      </c>
      <c r="P7" s="20">
        <f t="shared" si="3"/>
        <v>39.950000000000003</v>
      </c>
      <c r="Q7">
        <f t="shared" si="4"/>
        <v>798.95</v>
      </c>
      <c r="R7" s="25">
        <f t="shared" si="5"/>
        <v>799</v>
      </c>
      <c r="S7" s="24">
        <f t="shared" si="6"/>
        <v>1.0000625821390574</v>
      </c>
      <c r="T7">
        <v>799</v>
      </c>
    </row>
    <row r="8" spans="1:20" ht="15.6" thickTop="1" thickBot="1" x14ac:dyDescent="0.35">
      <c r="A8" s="8" t="s">
        <v>49</v>
      </c>
      <c r="B8" s="14">
        <v>46863</v>
      </c>
      <c r="C8" s="14" t="str">
        <f t="shared" si="0"/>
        <v>2028</v>
      </c>
      <c r="D8" s="14" t="str">
        <f t="shared" si="1"/>
        <v>04</v>
      </c>
      <c r="E8" s="9" t="s">
        <v>14</v>
      </c>
      <c r="F8" s="9" t="s">
        <v>23</v>
      </c>
      <c r="G8" s="9" t="s">
        <v>47</v>
      </c>
      <c r="H8" s="9" t="s">
        <v>32</v>
      </c>
      <c r="I8" s="9" t="s">
        <v>51</v>
      </c>
      <c r="J8" s="9">
        <v>3</v>
      </c>
      <c r="K8" s="9">
        <v>699</v>
      </c>
      <c r="L8" s="9">
        <v>0.1</v>
      </c>
      <c r="M8" s="9">
        <v>1376.85</v>
      </c>
      <c r="N8" s="9" t="s">
        <v>44</v>
      </c>
      <c r="O8" s="15">
        <f t="shared" si="2"/>
        <v>2097</v>
      </c>
      <c r="P8" s="20">
        <f t="shared" si="3"/>
        <v>209.70000000000002</v>
      </c>
      <c r="Q8">
        <f t="shared" si="4"/>
        <v>2096.9</v>
      </c>
      <c r="R8" s="25">
        <f t="shared" si="5"/>
        <v>6291</v>
      </c>
      <c r="S8" s="24">
        <f t="shared" si="6"/>
        <v>3.0001430683389763</v>
      </c>
      <c r="T8">
        <v>6291</v>
      </c>
    </row>
    <row r="9" spans="1:20" ht="15.6" thickTop="1" thickBot="1" x14ac:dyDescent="0.35">
      <c r="A9" s="7" t="s">
        <v>52</v>
      </c>
      <c r="B9" s="14">
        <v>46864</v>
      </c>
      <c r="C9" s="14" t="str">
        <f t="shared" si="0"/>
        <v>2028</v>
      </c>
      <c r="D9" s="14" t="str">
        <f t="shared" si="1"/>
        <v>04</v>
      </c>
      <c r="E9" s="3" t="s">
        <v>14</v>
      </c>
      <c r="F9" s="3" t="s">
        <v>15</v>
      </c>
      <c r="G9" s="3" t="s">
        <v>31</v>
      </c>
      <c r="H9" s="3" t="s">
        <v>39</v>
      </c>
      <c r="I9" s="3" t="s">
        <v>40</v>
      </c>
      <c r="J9" s="3">
        <v>8</v>
      </c>
      <c r="K9" s="3">
        <v>1599</v>
      </c>
      <c r="L9" s="3">
        <v>0.15</v>
      </c>
      <c r="M9" s="3">
        <v>8071.55</v>
      </c>
      <c r="N9" s="3" t="s">
        <v>19</v>
      </c>
      <c r="O9" s="15">
        <f t="shared" si="2"/>
        <v>12792</v>
      </c>
      <c r="P9" s="20">
        <f t="shared" si="3"/>
        <v>1918.8</v>
      </c>
      <c r="Q9">
        <f t="shared" si="4"/>
        <v>12791.85</v>
      </c>
      <c r="R9" s="25">
        <f t="shared" si="5"/>
        <v>102336</v>
      </c>
      <c r="S9" s="24">
        <f t="shared" si="6"/>
        <v>8.000093809730414</v>
      </c>
      <c r="T9">
        <v>102336</v>
      </c>
    </row>
    <row r="10" spans="1:20" ht="15.6" thickTop="1" thickBot="1" x14ac:dyDescent="0.35">
      <c r="A10" s="8" t="s">
        <v>54</v>
      </c>
      <c r="B10" s="14">
        <v>46865</v>
      </c>
      <c r="C10" s="14" t="str">
        <f t="shared" si="0"/>
        <v>2028</v>
      </c>
      <c r="D10" s="14" t="str">
        <f t="shared" si="1"/>
        <v>04</v>
      </c>
      <c r="E10" s="9" t="s">
        <v>43</v>
      </c>
      <c r="F10" s="9" t="s">
        <v>15</v>
      </c>
      <c r="G10" s="9" t="s">
        <v>59</v>
      </c>
      <c r="H10" s="9" t="s">
        <v>25</v>
      </c>
      <c r="I10" s="9" t="s">
        <v>56</v>
      </c>
      <c r="J10" s="9">
        <v>7</v>
      </c>
      <c r="K10" s="9">
        <v>1499</v>
      </c>
      <c r="L10" s="9">
        <v>0.1</v>
      </c>
      <c r="M10" s="9">
        <v>5979.51</v>
      </c>
      <c r="N10" s="9" t="s">
        <v>19</v>
      </c>
      <c r="O10" s="15">
        <f t="shared" si="2"/>
        <v>10493</v>
      </c>
      <c r="P10" s="20">
        <f t="shared" si="3"/>
        <v>1049.3</v>
      </c>
      <c r="Q10">
        <f t="shared" si="4"/>
        <v>10492.9</v>
      </c>
      <c r="R10" s="25">
        <f t="shared" si="5"/>
        <v>73451</v>
      </c>
      <c r="S10" s="24">
        <f t="shared" si="6"/>
        <v>7.0000667117765349</v>
      </c>
      <c r="T10">
        <v>73451</v>
      </c>
    </row>
    <row r="11" spans="1:20" ht="15.6" thickTop="1" thickBot="1" x14ac:dyDescent="0.35">
      <c r="A11" s="7" t="s">
        <v>57</v>
      </c>
      <c r="B11" s="14">
        <v>46866</v>
      </c>
      <c r="C11" s="14" t="str">
        <f t="shared" si="0"/>
        <v>2028</v>
      </c>
      <c r="D11" s="14" t="str">
        <f t="shared" si="1"/>
        <v>04</v>
      </c>
      <c r="E11" s="3" t="s">
        <v>30</v>
      </c>
      <c r="F11" s="3" t="s">
        <v>23</v>
      </c>
      <c r="G11" s="3" t="s">
        <v>47</v>
      </c>
      <c r="H11" s="3" t="s">
        <v>32</v>
      </c>
      <c r="I11" s="3" t="s">
        <v>60</v>
      </c>
      <c r="J11" s="3">
        <v>5</v>
      </c>
      <c r="K11" s="3">
        <v>1299</v>
      </c>
      <c r="L11" s="3">
        <v>0.05</v>
      </c>
      <c r="M11" s="3">
        <v>4052.8</v>
      </c>
      <c r="N11" s="3" t="s">
        <v>19</v>
      </c>
      <c r="O11" s="15">
        <f t="shared" si="2"/>
        <v>6495</v>
      </c>
      <c r="P11" s="20">
        <f t="shared" si="3"/>
        <v>324.75</v>
      </c>
      <c r="Q11">
        <f t="shared" si="4"/>
        <v>6494.95</v>
      </c>
      <c r="R11" s="25">
        <f t="shared" si="5"/>
        <v>32475</v>
      </c>
      <c r="S11" s="24">
        <f t="shared" si="6"/>
        <v>5.0000384914433527</v>
      </c>
      <c r="T11">
        <v>32475</v>
      </c>
    </row>
    <row r="12" spans="1:20" ht="15.6" thickTop="1" thickBot="1" x14ac:dyDescent="0.35">
      <c r="A12" s="8" t="s">
        <v>61</v>
      </c>
      <c r="B12" s="14">
        <v>46867</v>
      </c>
      <c r="C12" s="14" t="str">
        <f t="shared" si="0"/>
        <v>2028</v>
      </c>
      <c r="D12" s="14" t="str">
        <f t="shared" si="1"/>
        <v>04</v>
      </c>
      <c r="E12" s="9" t="s">
        <v>63</v>
      </c>
      <c r="F12" s="9" t="s">
        <v>23</v>
      </c>
      <c r="G12" s="9" t="s">
        <v>16</v>
      </c>
      <c r="H12" s="9" t="s">
        <v>32</v>
      </c>
      <c r="I12" s="9" t="s">
        <v>51</v>
      </c>
      <c r="J12" s="9">
        <v>4</v>
      </c>
      <c r="K12" s="9">
        <v>699</v>
      </c>
      <c r="L12" s="9">
        <v>0.05</v>
      </c>
      <c r="M12" s="9">
        <v>1965.19</v>
      </c>
      <c r="N12" s="9" t="s">
        <v>27</v>
      </c>
      <c r="O12" s="15">
        <f t="shared" si="2"/>
        <v>2796</v>
      </c>
      <c r="P12" s="20">
        <f t="shared" si="3"/>
        <v>139.80000000000001</v>
      </c>
      <c r="Q12">
        <f t="shared" si="4"/>
        <v>2795.95</v>
      </c>
      <c r="R12" s="25">
        <f t="shared" si="5"/>
        <v>11184</v>
      </c>
      <c r="S12" s="24">
        <f t="shared" si="6"/>
        <v>4.0000715320374116</v>
      </c>
      <c r="T12">
        <v>11184</v>
      </c>
    </row>
    <row r="13" spans="1:20" ht="15.6" thickTop="1" thickBot="1" x14ac:dyDescent="0.35">
      <c r="A13" s="7" t="s">
        <v>64</v>
      </c>
      <c r="B13" s="14">
        <v>46868</v>
      </c>
      <c r="C13" s="14" t="str">
        <f t="shared" si="0"/>
        <v>2028</v>
      </c>
      <c r="D13" s="14" t="str">
        <f t="shared" si="1"/>
        <v>04</v>
      </c>
      <c r="E13" s="3" t="s">
        <v>14</v>
      </c>
      <c r="F13" s="3" t="s">
        <v>15</v>
      </c>
      <c r="G13" s="3" t="s">
        <v>16</v>
      </c>
      <c r="H13" s="3" t="s">
        <v>39</v>
      </c>
      <c r="I13" s="3" t="s">
        <v>66</v>
      </c>
      <c r="J13" s="3">
        <v>2</v>
      </c>
      <c r="K13" s="3">
        <v>1199</v>
      </c>
      <c r="L13" s="3">
        <v>0.15</v>
      </c>
      <c r="M13" s="3">
        <v>1593.44</v>
      </c>
      <c r="N13" s="3" t="s">
        <v>67</v>
      </c>
      <c r="O13" s="15">
        <f t="shared" si="2"/>
        <v>2398</v>
      </c>
      <c r="P13" s="20">
        <f t="shared" si="3"/>
        <v>359.7</v>
      </c>
      <c r="Q13">
        <f t="shared" si="4"/>
        <v>2397.85</v>
      </c>
      <c r="R13" s="25">
        <f t="shared" si="5"/>
        <v>4796</v>
      </c>
      <c r="S13" s="24">
        <f t="shared" si="6"/>
        <v>2.0001251120795716</v>
      </c>
      <c r="T13">
        <v>4796</v>
      </c>
    </row>
    <row r="14" spans="1:20" ht="15.6" thickTop="1" thickBot="1" x14ac:dyDescent="0.35">
      <c r="A14" s="8" t="s">
        <v>68</v>
      </c>
      <c r="B14" s="14">
        <v>46869</v>
      </c>
      <c r="C14" s="14" t="str">
        <f t="shared" si="0"/>
        <v>2028</v>
      </c>
      <c r="D14" s="14" t="str">
        <f t="shared" si="1"/>
        <v>04</v>
      </c>
      <c r="E14" s="9" t="s">
        <v>63</v>
      </c>
      <c r="F14" s="9" t="s">
        <v>15</v>
      </c>
      <c r="G14" s="9" t="s">
        <v>16</v>
      </c>
      <c r="H14" s="9" t="s">
        <v>25</v>
      </c>
      <c r="I14" s="9" t="s">
        <v>70</v>
      </c>
      <c r="J14" s="9">
        <v>5</v>
      </c>
      <c r="K14" s="9">
        <v>1299</v>
      </c>
      <c r="L14" s="9">
        <v>0.1</v>
      </c>
      <c r="M14" s="9">
        <v>3789.61</v>
      </c>
      <c r="N14" s="9" t="s">
        <v>67</v>
      </c>
      <c r="O14" s="15">
        <f t="shared" si="2"/>
        <v>6495</v>
      </c>
      <c r="P14" s="20">
        <f t="shared" si="3"/>
        <v>649.5</v>
      </c>
      <c r="Q14">
        <f t="shared" si="4"/>
        <v>6494.9</v>
      </c>
      <c r="R14" s="25">
        <f t="shared" si="5"/>
        <v>32475</v>
      </c>
      <c r="S14" s="24">
        <f t="shared" si="6"/>
        <v>5.0000769834793459</v>
      </c>
      <c r="T14">
        <v>32475</v>
      </c>
    </row>
    <row r="15" spans="1:20" ht="15.6" thickTop="1" thickBot="1" x14ac:dyDescent="0.35">
      <c r="A15" s="7" t="s">
        <v>71</v>
      </c>
      <c r="B15" s="14">
        <v>46870</v>
      </c>
      <c r="C15" s="14" t="str">
        <f t="shared" si="0"/>
        <v>2028</v>
      </c>
      <c r="D15" s="14" t="str">
        <f t="shared" si="1"/>
        <v>04</v>
      </c>
      <c r="E15" s="3" t="s">
        <v>73</v>
      </c>
      <c r="F15" s="3" t="s">
        <v>15</v>
      </c>
      <c r="G15" s="3" t="s">
        <v>31</v>
      </c>
      <c r="H15" s="3" t="s">
        <v>17</v>
      </c>
      <c r="I15" s="3" t="s">
        <v>74</v>
      </c>
      <c r="J15" s="3">
        <v>3</v>
      </c>
      <c r="K15" s="3">
        <v>240</v>
      </c>
      <c r="L15" s="3">
        <v>0.2</v>
      </c>
      <c r="M15" s="3">
        <v>593.13</v>
      </c>
      <c r="N15" s="3" t="s">
        <v>44</v>
      </c>
      <c r="O15" s="15">
        <f t="shared" si="2"/>
        <v>720</v>
      </c>
      <c r="P15" s="20">
        <f t="shared" si="3"/>
        <v>144</v>
      </c>
      <c r="Q15">
        <f t="shared" si="4"/>
        <v>719.8</v>
      </c>
      <c r="R15" s="25">
        <f t="shared" si="5"/>
        <v>2160</v>
      </c>
      <c r="S15" s="24">
        <f t="shared" si="6"/>
        <v>3.0008335648791333</v>
      </c>
      <c r="T15">
        <v>2160</v>
      </c>
    </row>
    <row r="16" spans="1:20" ht="15.6" thickTop="1" thickBot="1" x14ac:dyDescent="0.35">
      <c r="A16" s="8" t="s">
        <v>75</v>
      </c>
      <c r="B16" s="14">
        <v>46871</v>
      </c>
      <c r="C16" s="14" t="str">
        <f t="shared" si="0"/>
        <v>2028</v>
      </c>
      <c r="D16" s="14" t="str">
        <f t="shared" si="1"/>
        <v>04</v>
      </c>
      <c r="E16" s="9" t="s">
        <v>76</v>
      </c>
      <c r="F16" s="9" t="s">
        <v>15</v>
      </c>
      <c r="G16" s="9" t="s">
        <v>31</v>
      </c>
      <c r="H16" s="9" t="s">
        <v>17</v>
      </c>
      <c r="I16" s="9" t="s">
        <v>18</v>
      </c>
      <c r="J16" s="9">
        <v>1</v>
      </c>
      <c r="K16" s="9">
        <v>420</v>
      </c>
      <c r="L16" s="9">
        <v>0.2</v>
      </c>
      <c r="M16" s="9">
        <v>271.83999999999997</v>
      </c>
      <c r="N16" s="9" t="s">
        <v>27</v>
      </c>
      <c r="O16" s="15">
        <f t="shared" si="2"/>
        <v>420</v>
      </c>
      <c r="P16" s="20">
        <f t="shared" si="3"/>
        <v>84</v>
      </c>
      <c r="Q16">
        <f t="shared" si="4"/>
        <v>419.8</v>
      </c>
      <c r="R16" s="25">
        <f t="shared" si="5"/>
        <v>420</v>
      </c>
      <c r="S16" s="24">
        <f t="shared" si="6"/>
        <v>1.0004764173415912</v>
      </c>
      <c r="T16">
        <v>420</v>
      </c>
    </row>
    <row r="17" spans="1:20" ht="15.6" thickTop="1" thickBot="1" x14ac:dyDescent="0.35">
      <c r="A17" s="7" t="s">
        <v>77</v>
      </c>
      <c r="B17" s="14">
        <v>46872</v>
      </c>
      <c r="C17" s="14" t="str">
        <f t="shared" si="0"/>
        <v>2028</v>
      </c>
      <c r="D17" s="14" t="str">
        <f t="shared" si="1"/>
        <v>04</v>
      </c>
      <c r="E17" s="3" t="s">
        <v>43</v>
      </c>
      <c r="F17" s="3" t="s">
        <v>23</v>
      </c>
      <c r="G17" s="3" t="s">
        <v>16</v>
      </c>
      <c r="H17" s="3" t="s">
        <v>25</v>
      </c>
      <c r="I17" s="3" t="s">
        <v>79</v>
      </c>
      <c r="J17" s="3">
        <v>2</v>
      </c>
      <c r="K17" s="3">
        <v>899</v>
      </c>
      <c r="L17" s="3">
        <v>0</v>
      </c>
      <c r="M17" s="3">
        <v>1383.69</v>
      </c>
      <c r="N17" s="3" t="s">
        <v>27</v>
      </c>
      <c r="O17" s="15">
        <f t="shared" si="2"/>
        <v>1798</v>
      </c>
      <c r="P17" s="20">
        <f t="shared" si="3"/>
        <v>0</v>
      </c>
      <c r="Q17">
        <f t="shared" si="4"/>
        <v>1798</v>
      </c>
      <c r="R17" s="25">
        <f t="shared" si="5"/>
        <v>3596</v>
      </c>
      <c r="S17" s="24">
        <f t="shared" si="6"/>
        <v>2</v>
      </c>
      <c r="T17">
        <v>3596</v>
      </c>
    </row>
    <row r="18" spans="1:20" ht="15.6" thickTop="1" thickBot="1" x14ac:dyDescent="0.35">
      <c r="A18" s="8" t="s">
        <v>80</v>
      </c>
      <c r="B18" s="14">
        <v>46873</v>
      </c>
      <c r="C18" s="14" t="str">
        <f t="shared" si="0"/>
        <v>2028</v>
      </c>
      <c r="D18" s="14" t="str">
        <f t="shared" si="1"/>
        <v>04</v>
      </c>
      <c r="E18" s="9" t="s">
        <v>82</v>
      </c>
      <c r="F18" s="9" t="s">
        <v>15</v>
      </c>
      <c r="G18" s="9" t="s">
        <v>16</v>
      </c>
      <c r="H18" s="9" t="s">
        <v>32</v>
      </c>
      <c r="I18" s="9" t="s">
        <v>33</v>
      </c>
      <c r="J18" s="9">
        <v>3</v>
      </c>
      <c r="K18" s="9">
        <v>1499</v>
      </c>
      <c r="L18" s="9">
        <v>0.1</v>
      </c>
      <c r="M18" s="9">
        <v>3185.23</v>
      </c>
      <c r="N18" s="9" t="s">
        <v>19</v>
      </c>
      <c r="O18" s="15">
        <f t="shared" si="2"/>
        <v>4497</v>
      </c>
      <c r="P18" s="20">
        <f t="shared" si="3"/>
        <v>449.70000000000005</v>
      </c>
      <c r="Q18">
        <f t="shared" si="4"/>
        <v>4496.8999999999996</v>
      </c>
      <c r="R18" s="25">
        <f t="shared" si="5"/>
        <v>13491</v>
      </c>
      <c r="S18" s="24">
        <f t="shared" si="6"/>
        <v>3.0000667126242524</v>
      </c>
      <c r="T18">
        <v>13491</v>
      </c>
    </row>
    <row r="19" spans="1:20" ht="15.6" thickTop="1" thickBot="1" x14ac:dyDescent="0.35">
      <c r="A19" s="7" t="s">
        <v>83</v>
      </c>
      <c r="B19" s="14">
        <v>46874</v>
      </c>
      <c r="C19" s="14" t="str">
        <f t="shared" si="0"/>
        <v>2028</v>
      </c>
      <c r="D19" s="14" t="str">
        <f t="shared" si="1"/>
        <v>05</v>
      </c>
      <c r="E19" s="3" t="s">
        <v>30</v>
      </c>
      <c r="F19" s="3" t="s">
        <v>15</v>
      </c>
      <c r="G19" s="3" t="s">
        <v>24</v>
      </c>
      <c r="H19" s="3" t="s">
        <v>17</v>
      </c>
      <c r="I19" s="3" t="s">
        <v>86</v>
      </c>
      <c r="J19" s="3">
        <v>6</v>
      </c>
      <c r="K19" s="3">
        <v>55</v>
      </c>
      <c r="L19" s="3">
        <v>0.15</v>
      </c>
      <c r="M19" s="3">
        <v>270.56</v>
      </c>
      <c r="N19" s="3" t="s">
        <v>67</v>
      </c>
      <c r="O19" s="15">
        <f t="shared" si="2"/>
        <v>330</v>
      </c>
      <c r="P19" s="20">
        <f t="shared" si="3"/>
        <v>49.5</v>
      </c>
      <c r="Q19">
        <f t="shared" si="4"/>
        <v>329.85</v>
      </c>
      <c r="R19" s="25">
        <f t="shared" si="5"/>
        <v>1980</v>
      </c>
      <c r="S19" s="24">
        <f t="shared" si="6"/>
        <v>6.0027285129604362</v>
      </c>
      <c r="T19">
        <v>1980</v>
      </c>
    </row>
    <row r="20" spans="1:20" ht="15.6" thickTop="1" thickBot="1" x14ac:dyDescent="0.35">
      <c r="A20" s="8" t="s">
        <v>87</v>
      </c>
      <c r="B20" s="14">
        <v>46875</v>
      </c>
      <c r="C20" s="14" t="str">
        <f t="shared" si="0"/>
        <v>2028</v>
      </c>
      <c r="D20" s="14" t="str">
        <f t="shared" si="1"/>
        <v>05</v>
      </c>
      <c r="E20" s="9" t="s">
        <v>30</v>
      </c>
      <c r="F20" s="9" t="s">
        <v>15</v>
      </c>
      <c r="G20" s="9" t="s">
        <v>24</v>
      </c>
      <c r="H20" s="9" t="s">
        <v>17</v>
      </c>
      <c r="I20" s="9" t="s">
        <v>89</v>
      </c>
      <c r="J20" s="9">
        <v>4</v>
      </c>
      <c r="K20" s="9">
        <v>650</v>
      </c>
      <c r="L20" s="9">
        <v>0.2</v>
      </c>
      <c r="M20" s="9">
        <v>1601.77</v>
      </c>
      <c r="N20" s="9" t="s">
        <v>27</v>
      </c>
      <c r="O20" s="15">
        <f t="shared" si="2"/>
        <v>2600</v>
      </c>
      <c r="P20" s="20">
        <f t="shared" si="3"/>
        <v>520</v>
      </c>
      <c r="Q20">
        <f t="shared" si="4"/>
        <v>2599.8000000000002</v>
      </c>
      <c r="R20" s="25">
        <f t="shared" si="5"/>
        <v>10400</v>
      </c>
      <c r="S20" s="24">
        <f t="shared" si="6"/>
        <v>4.0003077159781517</v>
      </c>
      <c r="T20">
        <v>10400</v>
      </c>
    </row>
    <row r="21" spans="1:20" ht="15.6" thickTop="1" thickBot="1" x14ac:dyDescent="0.35">
      <c r="A21" s="7" t="s">
        <v>90</v>
      </c>
      <c r="B21" s="14">
        <v>46876</v>
      </c>
      <c r="C21" s="14" t="str">
        <f t="shared" si="0"/>
        <v>2028</v>
      </c>
      <c r="D21" s="14" t="str">
        <f t="shared" si="1"/>
        <v>05</v>
      </c>
      <c r="E21" s="3" t="s">
        <v>92</v>
      </c>
      <c r="F21" s="3" t="s">
        <v>15</v>
      </c>
      <c r="G21" s="3" t="s">
        <v>16</v>
      </c>
      <c r="H21" s="3" t="s">
        <v>25</v>
      </c>
      <c r="I21" s="3" t="s">
        <v>56</v>
      </c>
      <c r="J21" s="3">
        <v>2</v>
      </c>
      <c r="K21" s="3">
        <v>1499</v>
      </c>
      <c r="L21" s="3">
        <v>0.2</v>
      </c>
      <c r="M21" s="3">
        <v>1862.96</v>
      </c>
      <c r="N21" s="3" t="s">
        <v>67</v>
      </c>
      <c r="O21" s="15">
        <f t="shared" si="2"/>
        <v>2998</v>
      </c>
      <c r="P21" s="20">
        <f t="shared" si="3"/>
        <v>599.6</v>
      </c>
      <c r="Q21">
        <f t="shared" si="4"/>
        <v>2997.8</v>
      </c>
      <c r="R21" s="25">
        <f t="shared" si="5"/>
        <v>5996</v>
      </c>
      <c r="S21" s="24">
        <f t="shared" si="6"/>
        <v>2.0001334311828671</v>
      </c>
      <c r="T21">
        <v>5996</v>
      </c>
    </row>
    <row r="22" spans="1:20" ht="15.6" thickTop="1" thickBot="1" x14ac:dyDescent="0.35">
      <c r="A22" s="8" t="s">
        <v>93</v>
      </c>
      <c r="B22" s="14">
        <v>46877</v>
      </c>
      <c r="C22" s="14" t="str">
        <f t="shared" si="0"/>
        <v>2028</v>
      </c>
      <c r="D22" s="14" t="str">
        <f t="shared" si="1"/>
        <v>05</v>
      </c>
      <c r="E22" s="9" t="s">
        <v>76</v>
      </c>
      <c r="F22" s="9" t="s">
        <v>15</v>
      </c>
      <c r="G22" s="9" t="s">
        <v>59</v>
      </c>
      <c r="H22" s="9" t="s">
        <v>32</v>
      </c>
      <c r="I22" s="9" t="s">
        <v>60</v>
      </c>
      <c r="J22" s="9">
        <v>8</v>
      </c>
      <c r="K22" s="9">
        <v>1299</v>
      </c>
      <c r="L22" s="9">
        <v>0.15</v>
      </c>
      <c r="M22" s="9">
        <v>6309.22</v>
      </c>
      <c r="N22" s="9" t="s">
        <v>27</v>
      </c>
      <c r="O22" s="15">
        <f t="shared" si="2"/>
        <v>10392</v>
      </c>
      <c r="P22" s="20">
        <f t="shared" si="3"/>
        <v>1558.8</v>
      </c>
      <c r="Q22">
        <f t="shared" si="4"/>
        <v>10391.85</v>
      </c>
      <c r="R22" s="25">
        <f t="shared" si="5"/>
        <v>83136</v>
      </c>
      <c r="S22" s="24">
        <f t="shared" si="6"/>
        <v>8.0001154751078971</v>
      </c>
      <c r="T22">
        <v>83136</v>
      </c>
    </row>
    <row r="23" spans="1:20" ht="15.6" thickTop="1" thickBot="1" x14ac:dyDescent="0.35">
      <c r="A23" s="7" t="s">
        <v>95</v>
      </c>
      <c r="B23" s="14">
        <v>46878</v>
      </c>
      <c r="C23" s="14" t="str">
        <f t="shared" si="0"/>
        <v>2028</v>
      </c>
      <c r="D23" s="14" t="str">
        <f t="shared" si="1"/>
        <v>05</v>
      </c>
      <c r="E23" s="3" t="s">
        <v>37</v>
      </c>
      <c r="F23" s="3" t="s">
        <v>23</v>
      </c>
      <c r="G23" s="3" t="s">
        <v>31</v>
      </c>
      <c r="H23" s="3" t="s">
        <v>32</v>
      </c>
      <c r="I23" s="3" t="s">
        <v>97</v>
      </c>
      <c r="J23" s="3">
        <v>1</v>
      </c>
      <c r="K23" s="3">
        <v>899</v>
      </c>
      <c r="L23" s="3">
        <v>0</v>
      </c>
      <c r="M23" s="3">
        <v>510.8</v>
      </c>
      <c r="N23" s="3" t="s">
        <v>44</v>
      </c>
      <c r="O23" s="15">
        <f t="shared" si="2"/>
        <v>899</v>
      </c>
      <c r="P23" s="20">
        <f t="shared" si="3"/>
        <v>0</v>
      </c>
      <c r="Q23">
        <f t="shared" si="4"/>
        <v>899</v>
      </c>
      <c r="R23" s="25">
        <f t="shared" si="5"/>
        <v>899</v>
      </c>
      <c r="S23" s="24">
        <f t="shared" si="6"/>
        <v>1</v>
      </c>
      <c r="T23">
        <v>899</v>
      </c>
    </row>
    <row r="24" spans="1:20" ht="15.6" thickTop="1" thickBot="1" x14ac:dyDescent="0.35">
      <c r="A24" s="8" t="s">
        <v>98</v>
      </c>
      <c r="B24" s="14">
        <v>46879</v>
      </c>
      <c r="C24" s="14" t="str">
        <f t="shared" si="0"/>
        <v>2028</v>
      </c>
      <c r="D24" s="14" t="str">
        <f t="shared" si="1"/>
        <v>05</v>
      </c>
      <c r="E24" s="9" t="s">
        <v>30</v>
      </c>
      <c r="F24" s="9" t="s">
        <v>15</v>
      </c>
      <c r="G24" s="9" t="s">
        <v>24</v>
      </c>
      <c r="H24" s="9" t="s">
        <v>32</v>
      </c>
      <c r="I24" s="9" t="s">
        <v>60</v>
      </c>
      <c r="J24" s="9">
        <v>7</v>
      </c>
      <c r="K24" s="9">
        <v>1299</v>
      </c>
      <c r="L24" s="9">
        <v>0.05</v>
      </c>
      <c r="M24" s="9">
        <v>5760.99</v>
      </c>
      <c r="N24" s="9" t="s">
        <v>34</v>
      </c>
      <c r="O24" s="15">
        <f t="shared" si="2"/>
        <v>9093</v>
      </c>
      <c r="P24" s="20">
        <f t="shared" si="3"/>
        <v>454.65000000000003</v>
      </c>
      <c r="Q24">
        <f t="shared" si="4"/>
        <v>9092.9500000000007</v>
      </c>
      <c r="R24" s="25">
        <f t="shared" si="5"/>
        <v>63651</v>
      </c>
      <c r="S24" s="24">
        <f t="shared" si="6"/>
        <v>7.0000384913586897</v>
      </c>
      <c r="T24">
        <v>63651</v>
      </c>
    </row>
    <row r="25" spans="1:20" ht="15.6" thickTop="1" thickBot="1" x14ac:dyDescent="0.35">
      <c r="A25" s="7" t="s">
        <v>100</v>
      </c>
      <c r="B25" s="14">
        <v>46880</v>
      </c>
      <c r="C25" s="14" t="str">
        <f t="shared" si="0"/>
        <v>2028</v>
      </c>
      <c r="D25" s="14" t="str">
        <f t="shared" si="1"/>
        <v>05</v>
      </c>
      <c r="E25" s="3" t="s">
        <v>73</v>
      </c>
      <c r="F25" s="3" t="s">
        <v>15</v>
      </c>
      <c r="G25" s="3" t="s">
        <v>31</v>
      </c>
      <c r="H25" s="3" t="s">
        <v>25</v>
      </c>
      <c r="I25" s="3" t="s">
        <v>26</v>
      </c>
      <c r="J25" s="3">
        <v>4</v>
      </c>
      <c r="K25" s="3">
        <v>599</v>
      </c>
      <c r="L25" s="3">
        <v>0.05</v>
      </c>
      <c r="M25" s="3">
        <v>1609.93</v>
      </c>
      <c r="N25" s="3" t="s">
        <v>67</v>
      </c>
      <c r="O25" s="15">
        <f t="shared" si="2"/>
        <v>2396</v>
      </c>
      <c r="P25" s="20">
        <f t="shared" si="3"/>
        <v>119.80000000000001</v>
      </c>
      <c r="Q25">
        <f t="shared" si="4"/>
        <v>2395.9499999999998</v>
      </c>
      <c r="R25" s="25">
        <f t="shared" si="5"/>
        <v>9584</v>
      </c>
      <c r="S25" s="24">
        <f t="shared" si="6"/>
        <v>4.0000834741960398</v>
      </c>
      <c r="T25">
        <v>9584</v>
      </c>
    </row>
    <row r="26" spans="1:20" ht="15.6" thickTop="1" thickBot="1" x14ac:dyDescent="0.35">
      <c r="A26" s="8" t="s">
        <v>102</v>
      </c>
      <c r="B26" s="14">
        <v>46881</v>
      </c>
      <c r="C26" s="14" t="str">
        <f t="shared" si="0"/>
        <v>2028</v>
      </c>
      <c r="D26" s="14" t="str">
        <f t="shared" si="1"/>
        <v>05</v>
      </c>
      <c r="E26" s="9" t="s">
        <v>37</v>
      </c>
      <c r="F26" s="9" t="s">
        <v>15</v>
      </c>
      <c r="G26" s="9" t="s">
        <v>31</v>
      </c>
      <c r="H26" s="9" t="s">
        <v>32</v>
      </c>
      <c r="I26" s="9" t="s">
        <v>103</v>
      </c>
      <c r="J26" s="9">
        <v>7</v>
      </c>
      <c r="K26" s="9">
        <v>499</v>
      </c>
      <c r="L26" s="9">
        <v>0.1</v>
      </c>
      <c r="M26" s="9">
        <v>2892.05</v>
      </c>
      <c r="N26" s="9" t="s">
        <v>67</v>
      </c>
      <c r="O26" s="15">
        <f t="shared" si="2"/>
        <v>3493</v>
      </c>
      <c r="P26" s="20">
        <f t="shared" si="3"/>
        <v>349.3</v>
      </c>
      <c r="Q26">
        <f t="shared" si="4"/>
        <v>3492.9</v>
      </c>
      <c r="R26" s="25">
        <f t="shared" si="5"/>
        <v>24451</v>
      </c>
      <c r="S26" s="24">
        <f t="shared" si="6"/>
        <v>7.0002004065389789</v>
      </c>
      <c r="T26">
        <v>24451</v>
      </c>
    </row>
    <row r="27" spans="1:20" ht="15.6" thickTop="1" thickBot="1" x14ac:dyDescent="0.35">
      <c r="A27" s="7" t="s">
        <v>104</v>
      </c>
      <c r="B27" s="14">
        <v>46882</v>
      </c>
      <c r="C27" s="14" t="str">
        <f t="shared" si="0"/>
        <v>2028</v>
      </c>
      <c r="D27" s="14" t="str">
        <f t="shared" si="1"/>
        <v>05</v>
      </c>
      <c r="E27" s="3" t="s">
        <v>37</v>
      </c>
      <c r="F27" s="3" t="s">
        <v>23</v>
      </c>
      <c r="G27" s="3" t="s">
        <v>24</v>
      </c>
      <c r="H27" s="3" t="s">
        <v>39</v>
      </c>
      <c r="I27" s="3" t="s">
        <v>106</v>
      </c>
      <c r="J27" s="3">
        <v>4</v>
      </c>
      <c r="K27" s="3">
        <v>999</v>
      </c>
      <c r="L27" s="3">
        <v>0</v>
      </c>
      <c r="M27" s="3">
        <v>2892.12</v>
      </c>
      <c r="N27" s="3" t="s">
        <v>19</v>
      </c>
      <c r="O27" s="15">
        <f t="shared" si="2"/>
        <v>3996</v>
      </c>
      <c r="P27" s="20">
        <f t="shared" si="3"/>
        <v>0</v>
      </c>
      <c r="Q27">
        <f t="shared" si="4"/>
        <v>3996</v>
      </c>
      <c r="R27" s="25">
        <f t="shared" si="5"/>
        <v>15984</v>
      </c>
      <c r="S27" s="24">
        <f t="shared" si="6"/>
        <v>4</v>
      </c>
      <c r="T27">
        <v>15984</v>
      </c>
    </row>
    <row r="28" spans="1:20" ht="15.6" thickTop="1" thickBot="1" x14ac:dyDescent="0.35">
      <c r="A28" s="8" t="s">
        <v>107</v>
      </c>
      <c r="B28" s="14">
        <v>46883</v>
      </c>
      <c r="C28" s="14" t="str">
        <f t="shared" si="0"/>
        <v>2028</v>
      </c>
      <c r="D28" s="14" t="str">
        <f t="shared" si="1"/>
        <v>05</v>
      </c>
      <c r="E28" s="9" t="s">
        <v>43</v>
      </c>
      <c r="F28" s="9" t="s">
        <v>15</v>
      </c>
      <c r="G28" s="9" t="s">
        <v>16</v>
      </c>
      <c r="H28" s="9" t="s">
        <v>32</v>
      </c>
      <c r="I28" s="9" t="s">
        <v>33</v>
      </c>
      <c r="J28" s="9">
        <v>3</v>
      </c>
      <c r="K28" s="9">
        <v>1499</v>
      </c>
      <c r="L28" s="9">
        <v>0</v>
      </c>
      <c r="M28" s="9">
        <v>3769.54</v>
      </c>
      <c r="N28" s="9" t="s">
        <v>27</v>
      </c>
      <c r="O28" s="15">
        <f t="shared" si="2"/>
        <v>4497</v>
      </c>
      <c r="P28" s="20">
        <f t="shared" si="3"/>
        <v>0</v>
      </c>
      <c r="Q28">
        <f t="shared" si="4"/>
        <v>4497</v>
      </c>
      <c r="R28" s="25">
        <f t="shared" si="5"/>
        <v>13491</v>
      </c>
      <c r="S28" s="24">
        <f t="shared" si="6"/>
        <v>3</v>
      </c>
      <c r="T28">
        <v>13491</v>
      </c>
    </row>
    <row r="29" spans="1:20" ht="15.6" thickTop="1" thickBot="1" x14ac:dyDescent="0.35">
      <c r="A29" s="7" t="s">
        <v>109</v>
      </c>
      <c r="B29" s="14">
        <v>46884</v>
      </c>
      <c r="C29" s="14" t="str">
        <f t="shared" si="0"/>
        <v>2028</v>
      </c>
      <c r="D29" s="14" t="str">
        <f t="shared" si="1"/>
        <v>05</v>
      </c>
      <c r="E29" s="3" t="s">
        <v>14</v>
      </c>
      <c r="F29" s="3" t="s">
        <v>15</v>
      </c>
      <c r="G29" s="3" t="s">
        <v>59</v>
      </c>
      <c r="H29" s="3" t="s">
        <v>39</v>
      </c>
      <c r="I29" s="3" t="s">
        <v>66</v>
      </c>
      <c r="J29" s="3">
        <v>2</v>
      </c>
      <c r="K29" s="3">
        <v>1199</v>
      </c>
      <c r="L29" s="3">
        <v>0.2</v>
      </c>
      <c r="M29" s="3">
        <v>1496.03</v>
      </c>
      <c r="N29" s="3" t="s">
        <v>19</v>
      </c>
      <c r="O29" s="15">
        <f t="shared" si="2"/>
        <v>2398</v>
      </c>
      <c r="P29" s="20">
        <f t="shared" si="3"/>
        <v>479.6</v>
      </c>
      <c r="Q29">
        <f t="shared" si="4"/>
        <v>2397.8000000000002</v>
      </c>
      <c r="R29" s="25">
        <f t="shared" si="5"/>
        <v>4796</v>
      </c>
      <c r="S29" s="24">
        <f t="shared" si="6"/>
        <v>2.0001668195846189</v>
      </c>
      <c r="T29">
        <v>4796</v>
      </c>
    </row>
    <row r="30" spans="1:20" ht="15.6" thickTop="1" thickBot="1" x14ac:dyDescent="0.35">
      <c r="A30" s="8" t="s">
        <v>111</v>
      </c>
      <c r="B30" s="14">
        <v>46885</v>
      </c>
      <c r="C30" s="14" t="str">
        <f t="shared" si="0"/>
        <v>2028</v>
      </c>
      <c r="D30" s="14" t="str">
        <f t="shared" si="1"/>
        <v>05</v>
      </c>
      <c r="E30" s="9" t="s">
        <v>22</v>
      </c>
      <c r="F30" s="9" t="s">
        <v>15</v>
      </c>
      <c r="G30" s="9" t="s">
        <v>38</v>
      </c>
      <c r="H30" s="9" t="s">
        <v>17</v>
      </c>
      <c r="I30" s="9" t="s">
        <v>113</v>
      </c>
      <c r="J30" s="9">
        <v>4</v>
      </c>
      <c r="K30" s="9">
        <v>180</v>
      </c>
      <c r="L30" s="9">
        <v>0.1</v>
      </c>
      <c r="M30" s="9">
        <v>447.56</v>
      </c>
      <c r="N30" s="9" t="s">
        <v>67</v>
      </c>
      <c r="O30" s="15">
        <f t="shared" si="2"/>
        <v>720</v>
      </c>
      <c r="P30" s="20">
        <f t="shared" si="3"/>
        <v>72</v>
      </c>
      <c r="Q30">
        <f t="shared" si="4"/>
        <v>719.9</v>
      </c>
      <c r="R30" s="25">
        <f t="shared" si="5"/>
        <v>2880</v>
      </c>
      <c r="S30" s="24">
        <f t="shared" si="6"/>
        <v>4.0005556327267682</v>
      </c>
      <c r="T30">
        <v>2880</v>
      </c>
    </row>
    <row r="31" spans="1:20" ht="15.6" thickTop="1" thickBot="1" x14ac:dyDescent="0.35">
      <c r="A31" s="7" t="s">
        <v>114</v>
      </c>
      <c r="B31" s="14">
        <v>46886</v>
      </c>
      <c r="C31" s="14" t="str">
        <f t="shared" si="0"/>
        <v>2028</v>
      </c>
      <c r="D31" s="14" t="str">
        <f t="shared" si="1"/>
        <v>05</v>
      </c>
      <c r="E31" s="3" t="s">
        <v>63</v>
      </c>
      <c r="F31" s="3" t="s">
        <v>23</v>
      </c>
      <c r="G31" s="3" t="s">
        <v>47</v>
      </c>
      <c r="H31" s="3" t="s">
        <v>25</v>
      </c>
      <c r="I31" s="3" t="s">
        <v>26</v>
      </c>
      <c r="J31" s="3">
        <v>8</v>
      </c>
      <c r="K31" s="3">
        <v>599</v>
      </c>
      <c r="L31" s="3">
        <v>0.2</v>
      </c>
      <c r="M31" s="3">
        <v>4070.98</v>
      </c>
      <c r="N31" s="3" t="s">
        <v>27</v>
      </c>
      <c r="O31" s="15">
        <f t="shared" si="2"/>
        <v>4792</v>
      </c>
      <c r="P31" s="20">
        <f t="shared" si="3"/>
        <v>958.40000000000009</v>
      </c>
      <c r="Q31">
        <f t="shared" si="4"/>
        <v>4791.8</v>
      </c>
      <c r="R31" s="25">
        <f t="shared" si="5"/>
        <v>38336</v>
      </c>
      <c r="S31" s="24">
        <f t="shared" si="6"/>
        <v>8.0003339037522423</v>
      </c>
      <c r="T31">
        <v>38336</v>
      </c>
    </row>
    <row r="32" spans="1:20" ht="15.6" thickTop="1" thickBot="1" x14ac:dyDescent="0.35">
      <c r="A32" s="8" t="s">
        <v>116</v>
      </c>
      <c r="B32" s="14">
        <v>46887</v>
      </c>
      <c r="C32" s="14" t="str">
        <f t="shared" si="0"/>
        <v>2028</v>
      </c>
      <c r="D32" s="14" t="str">
        <f t="shared" si="1"/>
        <v>05</v>
      </c>
      <c r="E32" s="9" t="s">
        <v>76</v>
      </c>
      <c r="F32" s="9" t="s">
        <v>15</v>
      </c>
      <c r="G32" s="9" t="s">
        <v>47</v>
      </c>
      <c r="H32" s="9" t="s">
        <v>17</v>
      </c>
      <c r="I32" s="9" t="s">
        <v>18</v>
      </c>
      <c r="J32" s="9">
        <v>6</v>
      </c>
      <c r="K32" s="9">
        <v>420</v>
      </c>
      <c r="L32" s="9">
        <v>0</v>
      </c>
      <c r="M32" s="9">
        <v>2050.73</v>
      </c>
      <c r="N32" s="9" t="s">
        <v>44</v>
      </c>
      <c r="O32" s="15">
        <f t="shared" si="2"/>
        <v>2520</v>
      </c>
      <c r="P32" s="20">
        <f t="shared" si="3"/>
        <v>0</v>
      </c>
      <c r="Q32">
        <f t="shared" si="4"/>
        <v>2520</v>
      </c>
      <c r="R32" s="25">
        <f t="shared" si="5"/>
        <v>15120</v>
      </c>
      <c r="S32" s="24">
        <f t="shared" si="6"/>
        <v>6</v>
      </c>
      <c r="T32">
        <v>15120</v>
      </c>
    </row>
    <row r="33" spans="1:20" ht="15.6" thickTop="1" thickBot="1" x14ac:dyDescent="0.35">
      <c r="A33" s="7" t="s">
        <v>118</v>
      </c>
      <c r="B33" s="14">
        <v>46888</v>
      </c>
      <c r="C33" s="14" t="str">
        <f t="shared" si="0"/>
        <v>2028</v>
      </c>
      <c r="D33" s="14" t="str">
        <f t="shared" si="1"/>
        <v>05</v>
      </c>
      <c r="E33" s="3" t="s">
        <v>82</v>
      </c>
      <c r="F33" s="3" t="s">
        <v>23</v>
      </c>
      <c r="G33" s="3" t="s">
        <v>24</v>
      </c>
      <c r="H33" s="3" t="s">
        <v>120</v>
      </c>
      <c r="I33" s="3" t="s">
        <v>74</v>
      </c>
      <c r="J33" s="3">
        <v>1</v>
      </c>
      <c r="K33" s="3">
        <v>240</v>
      </c>
      <c r="L33" s="3">
        <v>0.2</v>
      </c>
      <c r="M33" s="3">
        <v>153.56</v>
      </c>
      <c r="N33" s="3" t="s">
        <v>27</v>
      </c>
      <c r="O33" s="15">
        <f t="shared" si="2"/>
        <v>240</v>
      </c>
      <c r="P33" s="20">
        <f t="shared" si="3"/>
        <v>48</v>
      </c>
      <c r="Q33">
        <f t="shared" si="4"/>
        <v>239.8</v>
      </c>
      <c r="R33" s="25">
        <f t="shared" si="5"/>
        <v>240</v>
      </c>
      <c r="S33" s="24">
        <f t="shared" si="6"/>
        <v>1.0008340283569641</v>
      </c>
      <c r="T33">
        <v>240</v>
      </c>
    </row>
    <row r="34" spans="1:20" ht="15.6" thickTop="1" thickBot="1" x14ac:dyDescent="0.35">
      <c r="A34" s="8" t="s">
        <v>121</v>
      </c>
      <c r="B34" s="14">
        <v>46889</v>
      </c>
      <c r="C34" s="14" t="str">
        <f t="shared" si="0"/>
        <v>2028</v>
      </c>
      <c r="D34" s="14" t="str">
        <f t="shared" si="1"/>
        <v>05</v>
      </c>
      <c r="E34" s="9" t="s">
        <v>63</v>
      </c>
      <c r="F34" s="9" t="s">
        <v>15</v>
      </c>
      <c r="G34" s="9" t="s">
        <v>38</v>
      </c>
      <c r="H34" s="9" t="s">
        <v>39</v>
      </c>
      <c r="I34" s="9" t="s">
        <v>106</v>
      </c>
      <c r="J34" s="9">
        <v>5</v>
      </c>
      <c r="K34" s="9">
        <v>999</v>
      </c>
      <c r="L34" s="9">
        <v>0.2</v>
      </c>
      <c r="M34" s="9">
        <v>3062.88</v>
      </c>
      <c r="N34" s="9" t="s">
        <v>44</v>
      </c>
      <c r="O34" s="15">
        <f t="shared" si="2"/>
        <v>4995</v>
      </c>
      <c r="P34" s="20">
        <f t="shared" si="3"/>
        <v>999</v>
      </c>
      <c r="Q34" t="b">
        <f>ISNUMBER(J2)</f>
        <v>1</v>
      </c>
      <c r="R34" s="25">
        <f t="shared" si="5"/>
        <v>24975</v>
      </c>
      <c r="S34" s="24">
        <f t="shared" si="6"/>
        <v>24975</v>
      </c>
      <c r="T34">
        <v>24975</v>
      </c>
    </row>
    <row r="35" spans="1:20" ht="15.6" thickTop="1" thickBot="1" x14ac:dyDescent="0.35">
      <c r="A35" s="7" t="s">
        <v>123</v>
      </c>
      <c r="B35" s="14">
        <v>46890</v>
      </c>
      <c r="C35" s="14" t="str">
        <f t="shared" si="0"/>
        <v>2028</v>
      </c>
      <c r="D35" s="14" t="str">
        <f t="shared" si="1"/>
        <v>05</v>
      </c>
      <c r="E35" s="3" t="s">
        <v>63</v>
      </c>
      <c r="F35" s="3" t="s">
        <v>23</v>
      </c>
      <c r="G35" s="3" t="s">
        <v>16</v>
      </c>
      <c r="H35" s="3" t="s">
        <v>25</v>
      </c>
      <c r="I35" s="3" t="s">
        <v>26</v>
      </c>
      <c r="J35" s="3">
        <v>7</v>
      </c>
      <c r="K35" s="3">
        <v>599</v>
      </c>
      <c r="L35" s="3">
        <v>0.1</v>
      </c>
      <c r="M35" s="3">
        <v>2361.61</v>
      </c>
      <c r="N35" s="3" t="s">
        <v>44</v>
      </c>
      <c r="O35" s="15">
        <f t="shared" si="2"/>
        <v>4193</v>
      </c>
      <c r="P35" s="20">
        <f t="shared" si="3"/>
        <v>419.3</v>
      </c>
      <c r="Q35" s="23"/>
      <c r="R35" s="25">
        <f t="shared" si="5"/>
        <v>29351</v>
      </c>
      <c r="S35" s="24">
        <f t="shared" si="6"/>
        <v>0</v>
      </c>
      <c r="T35">
        <v>29351</v>
      </c>
    </row>
    <row r="36" spans="1:20" ht="15.6" thickTop="1" thickBot="1" x14ac:dyDescent="0.35">
      <c r="A36" s="8" t="s">
        <v>125</v>
      </c>
      <c r="B36" s="14">
        <v>46891</v>
      </c>
      <c r="C36" s="14" t="str">
        <f t="shared" si="0"/>
        <v>2028</v>
      </c>
      <c r="D36" s="14" t="str">
        <f t="shared" si="1"/>
        <v>05</v>
      </c>
      <c r="E36" s="9" t="s">
        <v>63</v>
      </c>
      <c r="F36" s="9" t="s">
        <v>15</v>
      </c>
      <c r="G36" s="9" t="s">
        <v>38</v>
      </c>
      <c r="H36" s="9" t="s">
        <v>32</v>
      </c>
      <c r="I36" s="9" t="s">
        <v>33</v>
      </c>
      <c r="J36" s="9">
        <v>7</v>
      </c>
      <c r="K36" s="9">
        <v>1499</v>
      </c>
      <c r="L36" s="9">
        <v>0.2</v>
      </c>
      <c r="M36" s="9">
        <v>5801.59</v>
      </c>
      <c r="N36" s="9" t="s">
        <v>27</v>
      </c>
      <c r="O36" s="15">
        <f t="shared" si="2"/>
        <v>10493</v>
      </c>
      <c r="P36" s="20">
        <f t="shared" si="3"/>
        <v>2098.6</v>
      </c>
      <c r="R36" s="25">
        <f t="shared" si="5"/>
        <v>73451</v>
      </c>
      <c r="S36" s="24">
        <f t="shared" si="6"/>
        <v>0</v>
      </c>
      <c r="T36">
        <v>73451</v>
      </c>
    </row>
    <row r="37" spans="1:20" ht="15.6" thickTop="1" thickBot="1" x14ac:dyDescent="0.35">
      <c r="A37" s="7" t="s">
        <v>127</v>
      </c>
      <c r="B37" s="14">
        <v>46892</v>
      </c>
      <c r="C37" s="14" t="str">
        <f t="shared" si="0"/>
        <v>2028</v>
      </c>
      <c r="D37" s="14" t="str">
        <f t="shared" si="1"/>
        <v>05</v>
      </c>
      <c r="E37" s="3" t="s">
        <v>82</v>
      </c>
      <c r="F37" s="3" t="s">
        <v>15</v>
      </c>
      <c r="G37" s="3" t="s">
        <v>16</v>
      </c>
      <c r="H37" s="3" t="s">
        <v>39</v>
      </c>
      <c r="I37" s="3" t="s">
        <v>66</v>
      </c>
      <c r="J37" s="3">
        <v>3</v>
      </c>
      <c r="K37" s="3">
        <v>1199</v>
      </c>
      <c r="L37" s="3">
        <v>0</v>
      </c>
      <c r="M37" s="3">
        <v>2310.9899999999998</v>
      </c>
      <c r="N37" s="3" t="s">
        <v>27</v>
      </c>
      <c r="O37" s="15">
        <f t="shared" si="2"/>
        <v>3597</v>
      </c>
      <c r="P37" s="20">
        <f t="shared" si="3"/>
        <v>0</v>
      </c>
      <c r="R37" s="25">
        <f t="shared" si="5"/>
        <v>10791</v>
      </c>
      <c r="S37" s="24">
        <f t="shared" si="6"/>
        <v>0</v>
      </c>
      <c r="T37">
        <v>10791</v>
      </c>
    </row>
    <row r="38" spans="1:20" ht="15.6" thickTop="1" thickBot="1" x14ac:dyDescent="0.35">
      <c r="A38" s="8" t="s">
        <v>129</v>
      </c>
      <c r="B38" s="14">
        <v>46893</v>
      </c>
      <c r="C38" s="14" t="str">
        <f t="shared" si="0"/>
        <v>2028</v>
      </c>
      <c r="D38" s="14" t="str">
        <f t="shared" si="1"/>
        <v>05</v>
      </c>
      <c r="E38" s="9" t="s">
        <v>30</v>
      </c>
      <c r="F38" s="9" t="s">
        <v>15</v>
      </c>
      <c r="G38" s="9" t="s">
        <v>24</v>
      </c>
      <c r="H38" s="9" t="s">
        <v>25</v>
      </c>
      <c r="I38" s="9" t="s">
        <v>56</v>
      </c>
      <c r="J38" s="9">
        <v>7</v>
      </c>
      <c r="K38" s="9">
        <v>1499</v>
      </c>
      <c r="L38" s="9">
        <v>0.2</v>
      </c>
      <c r="M38" s="9">
        <v>8130.43</v>
      </c>
      <c r="N38" s="9" t="s">
        <v>34</v>
      </c>
      <c r="O38" s="15">
        <f t="shared" si="2"/>
        <v>10493</v>
      </c>
      <c r="P38" s="20">
        <f t="shared" si="3"/>
        <v>2098.6</v>
      </c>
      <c r="R38" s="25">
        <f t="shared" si="5"/>
        <v>73451</v>
      </c>
      <c r="S38" s="24">
        <f t="shared" si="6"/>
        <v>0</v>
      </c>
      <c r="T38">
        <v>73451</v>
      </c>
    </row>
    <row r="39" spans="1:20" ht="15.6" thickTop="1" thickBot="1" x14ac:dyDescent="0.35">
      <c r="A39" s="7" t="s">
        <v>130</v>
      </c>
      <c r="B39" s="14">
        <v>46894</v>
      </c>
      <c r="C39" s="14" t="str">
        <f t="shared" si="0"/>
        <v>2028</v>
      </c>
      <c r="D39" s="14" t="str">
        <f t="shared" si="1"/>
        <v>05</v>
      </c>
      <c r="E39" s="3" t="s">
        <v>82</v>
      </c>
      <c r="F39" s="3" t="s">
        <v>23</v>
      </c>
      <c r="G39" s="3" t="s">
        <v>31</v>
      </c>
      <c r="H39" s="3" t="s">
        <v>39</v>
      </c>
      <c r="I39" s="3" t="s">
        <v>106</v>
      </c>
      <c r="J39" s="3">
        <v>7</v>
      </c>
      <c r="K39" s="3">
        <v>999</v>
      </c>
      <c r="L39" s="3">
        <v>0.05</v>
      </c>
      <c r="M39" s="3">
        <v>4405.88</v>
      </c>
      <c r="N39" s="3" t="s">
        <v>27</v>
      </c>
      <c r="O39" s="15">
        <f t="shared" si="2"/>
        <v>6993</v>
      </c>
      <c r="P39" s="20">
        <f t="shared" si="3"/>
        <v>349.65000000000003</v>
      </c>
      <c r="R39" s="25">
        <f t="shared" si="5"/>
        <v>48951</v>
      </c>
      <c r="S39" s="24">
        <f t="shared" si="6"/>
        <v>0</v>
      </c>
      <c r="T39">
        <v>48951</v>
      </c>
    </row>
    <row r="40" spans="1:20" ht="15.6" thickTop="1" thickBot="1" x14ac:dyDescent="0.35">
      <c r="A40" s="8" t="s">
        <v>132</v>
      </c>
      <c r="B40" s="14">
        <v>46895</v>
      </c>
      <c r="C40" s="14" t="str">
        <f t="shared" si="0"/>
        <v>2028</v>
      </c>
      <c r="D40" s="14" t="str">
        <f t="shared" si="1"/>
        <v>05</v>
      </c>
      <c r="E40" s="9" t="s">
        <v>92</v>
      </c>
      <c r="F40" s="9" t="s">
        <v>23</v>
      </c>
      <c r="G40" s="9" t="s">
        <v>59</v>
      </c>
      <c r="H40" s="9" t="s">
        <v>39</v>
      </c>
      <c r="I40" s="9" t="s">
        <v>66</v>
      </c>
      <c r="J40" s="9">
        <v>6</v>
      </c>
      <c r="K40" s="9">
        <v>1199</v>
      </c>
      <c r="L40" s="9">
        <v>0.1</v>
      </c>
      <c r="M40" s="9">
        <v>5727.58</v>
      </c>
      <c r="N40" s="9" t="s">
        <v>34</v>
      </c>
      <c r="O40" s="15">
        <f t="shared" si="2"/>
        <v>7194</v>
      </c>
      <c r="P40" s="20">
        <f t="shared" si="3"/>
        <v>719.40000000000009</v>
      </c>
      <c r="R40" s="25">
        <f t="shared" si="5"/>
        <v>43164</v>
      </c>
      <c r="S40" s="24">
        <f t="shared" si="6"/>
        <v>0</v>
      </c>
      <c r="T40">
        <v>43164</v>
      </c>
    </row>
    <row r="41" spans="1:20" ht="15.6" thickTop="1" thickBot="1" x14ac:dyDescent="0.35">
      <c r="A41" s="7" t="s">
        <v>134</v>
      </c>
      <c r="B41" s="14">
        <v>46896</v>
      </c>
      <c r="C41" s="14" t="str">
        <f t="shared" si="0"/>
        <v>2028</v>
      </c>
      <c r="D41" s="14" t="str">
        <f t="shared" si="1"/>
        <v>05</v>
      </c>
      <c r="E41" s="3" t="s">
        <v>92</v>
      </c>
      <c r="F41" s="3" t="s">
        <v>15</v>
      </c>
      <c r="G41" s="3" t="s">
        <v>24</v>
      </c>
      <c r="H41" s="3" t="s">
        <v>17</v>
      </c>
      <c r="I41" s="3" t="s">
        <v>113</v>
      </c>
      <c r="J41" s="3">
        <v>2</v>
      </c>
      <c r="K41" s="3">
        <v>180</v>
      </c>
      <c r="L41" s="3">
        <v>0.1</v>
      </c>
      <c r="M41" s="3">
        <v>235.92</v>
      </c>
      <c r="N41" s="3" t="s">
        <v>19</v>
      </c>
      <c r="O41" s="15">
        <f t="shared" si="2"/>
        <v>360</v>
      </c>
      <c r="P41" s="20">
        <f t="shared" si="3"/>
        <v>36</v>
      </c>
      <c r="R41" s="25">
        <f t="shared" si="5"/>
        <v>720</v>
      </c>
      <c r="S41" s="24">
        <f t="shared" si="6"/>
        <v>0</v>
      </c>
      <c r="T41">
        <v>720</v>
      </c>
    </row>
    <row r="42" spans="1:20" ht="15.6" thickTop="1" thickBot="1" x14ac:dyDescent="0.35">
      <c r="A42" s="8" t="s">
        <v>136</v>
      </c>
      <c r="B42" s="14">
        <v>46897</v>
      </c>
      <c r="C42" s="14" t="str">
        <f t="shared" si="0"/>
        <v>2028</v>
      </c>
      <c r="D42" s="14" t="str">
        <f t="shared" si="1"/>
        <v>05</v>
      </c>
      <c r="E42" s="9" t="s">
        <v>76</v>
      </c>
      <c r="F42" s="9" t="s">
        <v>23</v>
      </c>
      <c r="G42" s="9" t="s">
        <v>38</v>
      </c>
      <c r="H42" s="9" t="s">
        <v>25</v>
      </c>
      <c r="I42" s="9" t="s">
        <v>56</v>
      </c>
      <c r="J42" s="9">
        <v>3</v>
      </c>
      <c r="K42" s="9">
        <v>1499</v>
      </c>
      <c r="L42" s="9">
        <v>0.2</v>
      </c>
      <c r="M42" s="9">
        <v>3771.91</v>
      </c>
      <c r="N42" s="9" t="s">
        <v>44</v>
      </c>
      <c r="O42" s="15">
        <f t="shared" si="2"/>
        <v>4497</v>
      </c>
      <c r="P42" s="20">
        <f t="shared" si="3"/>
        <v>899.40000000000009</v>
      </c>
      <c r="R42" s="25">
        <f t="shared" si="5"/>
        <v>13491</v>
      </c>
      <c r="S42" s="24">
        <f t="shared" si="6"/>
        <v>0</v>
      </c>
      <c r="T42">
        <v>13491</v>
      </c>
    </row>
    <row r="43" spans="1:20" ht="15.6" thickTop="1" thickBot="1" x14ac:dyDescent="0.35">
      <c r="A43" s="7" t="s">
        <v>138</v>
      </c>
      <c r="B43" s="14">
        <v>46898</v>
      </c>
      <c r="C43" s="14" t="str">
        <f t="shared" si="0"/>
        <v>2028</v>
      </c>
      <c r="D43" s="14" t="str">
        <f t="shared" si="1"/>
        <v>05</v>
      </c>
      <c r="E43" s="3" t="s">
        <v>14</v>
      </c>
      <c r="F43" s="3" t="s">
        <v>23</v>
      </c>
      <c r="G43" s="3" t="s">
        <v>24</v>
      </c>
      <c r="H43" s="3" t="s">
        <v>17</v>
      </c>
      <c r="I43" s="3" t="s">
        <v>86</v>
      </c>
      <c r="J43" s="3">
        <v>2</v>
      </c>
      <c r="K43" s="3">
        <v>55</v>
      </c>
      <c r="L43" s="3">
        <v>0.15</v>
      </c>
      <c r="M43" s="3">
        <v>90.18</v>
      </c>
      <c r="N43" s="3" t="s">
        <v>34</v>
      </c>
      <c r="O43" s="15">
        <f t="shared" si="2"/>
        <v>110</v>
      </c>
      <c r="P43" s="20">
        <f t="shared" si="3"/>
        <v>16.5</v>
      </c>
      <c r="R43" s="25">
        <f t="shared" si="5"/>
        <v>220</v>
      </c>
      <c r="S43" s="24">
        <f t="shared" si="6"/>
        <v>0</v>
      </c>
      <c r="T43">
        <v>220</v>
      </c>
    </row>
    <row r="44" spans="1:20" ht="15.6" thickTop="1" thickBot="1" x14ac:dyDescent="0.35">
      <c r="A44" s="8" t="s">
        <v>140</v>
      </c>
      <c r="B44" s="14">
        <v>46899</v>
      </c>
      <c r="C44" s="14" t="str">
        <f t="shared" si="0"/>
        <v>2028</v>
      </c>
      <c r="D44" s="14" t="str">
        <f t="shared" si="1"/>
        <v>05</v>
      </c>
      <c r="E44" s="9" t="s">
        <v>92</v>
      </c>
      <c r="F44" s="9" t="s">
        <v>23</v>
      </c>
      <c r="G44" s="9" t="s">
        <v>16</v>
      </c>
      <c r="H44" s="9" t="s">
        <v>39</v>
      </c>
      <c r="I44" s="9" t="s">
        <v>106</v>
      </c>
      <c r="J44" s="9">
        <v>7</v>
      </c>
      <c r="K44" s="9">
        <v>999</v>
      </c>
      <c r="L44" s="9">
        <v>0</v>
      </c>
      <c r="M44" s="9">
        <v>5836.79</v>
      </c>
      <c r="N44" s="9" t="s">
        <v>44</v>
      </c>
      <c r="O44" s="15">
        <f t="shared" si="2"/>
        <v>6993</v>
      </c>
      <c r="P44" s="20">
        <f t="shared" si="3"/>
        <v>0</v>
      </c>
      <c r="R44" s="25">
        <f t="shared" si="5"/>
        <v>48951</v>
      </c>
      <c r="S44" s="24">
        <f t="shared" si="6"/>
        <v>0</v>
      </c>
      <c r="T44">
        <v>48951</v>
      </c>
    </row>
    <row r="45" spans="1:20" ht="15.6" thickTop="1" thickBot="1" x14ac:dyDescent="0.35">
      <c r="A45" s="7" t="s">
        <v>142</v>
      </c>
      <c r="B45" s="14">
        <v>46900</v>
      </c>
      <c r="C45" s="14" t="str">
        <f t="shared" si="0"/>
        <v>2028</v>
      </c>
      <c r="D45" s="14" t="str">
        <f t="shared" si="1"/>
        <v>05</v>
      </c>
      <c r="E45" s="3" t="s">
        <v>43</v>
      </c>
      <c r="F45" s="3" t="s">
        <v>15</v>
      </c>
      <c r="G45" s="3" t="s">
        <v>59</v>
      </c>
      <c r="H45" s="3" t="s">
        <v>17</v>
      </c>
      <c r="I45" s="3" t="s">
        <v>74</v>
      </c>
      <c r="J45" s="3">
        <v>5</v>
      </c>
      <c r="K45" s="3">
        <v>240</v>
      </c>
      <c r="L45" s="3">
        <v>0.15</v>
      </c>
      <c r="M45" s="3">
        <v>777.43</v>
      </c>
      <c r="N45" s="3" t="s">
        <v>44</v>
      </c>
      <c r="O45" s="15">
        <f t="shared" si="2"/>
        <v>1200</v>
      </c>
      <c r="P45" s="20">
        <f t="shared" si="3"/>
        <v>180</v>
      </c>
      <c r="R45" s="25">
        <f t="shared" si="5"/>
        <v>6000</v>
      </c>
      <c r="S45" s="24">
        <f t="shared" si="6"/>
        <v>0</v>
      </c>
      <c r="T45">
        <v>6000</v>
      </c>
    </row>
    <row r="46" spans="1:20" ht="15.6" thickTop="1" thickBot="1" x14ac:dyDescent="0.35">
      <c r="A46" s="8" t="s">
        <v>144</v>
      </c>
      <c r="B46" s="14">
        <v>46901</v>
      </c>
      <c r="C46" s="14" t="str">
        <f t="shared" si="0"/>
        <v>2028</v>
      </c>
      <c r="D46" s="14" t="str">
        <f t="shared" si="1"/>
        <v>05</v>
      </c>
      <c r="E46" s="9" t="s">
        <v>82</v>
      </c>
      <c r="F46" s="9" t="s">
        <v>15</v>
      </c>
      <c r="G46" s="9" t="s">
        <v>59</v>
      </c>
      <c r="H46" s="9" t="s">
        <v>32</v>
      </c>
      <c r="I46" s="9" t="s">
        <v>60</v>
      </c>
      <c r="J46" s="9">
        <v>5</v>
      </c>
      <c r="K46" s="9">
        <v>1299</v>
      </c>
      <c r="L46" s="9">
        <v>0.15</v>
      </c>
      <c r="M46" s="9">
        <v>4639.91</v>
      </c>
      <c r="N46" s="9" t="s">
        <v>27</v>
      </c>
      <c r="O46" s="15">
        <f t="shared" si="2"/>
        <v>6495</v>
      </c>
      <c r="P46" s="20">
        <f t="shared" si="3"/>
        <v>974.25</v>
      </c>
      <c r="R46" s="25">
        <f t="shared" si="5"/>
        <v>32475</v>
      </c>
      <c r="S46" s="24">
        <f t="shared" si="6"/>
        <v>0</v>
      </c>
      <c r="T46">
        <v>32475</v>
      </c>
    </row>
    <row r="47" spans="1:20" ht="15.6" thickTop="1" thickBot="1" x14ac:dyDescent="0.35">
      <c r="A47" s="7" t="s">
        <v>146</v>
      </c>
      <c r="B47" s="14">
        <v>46902</v>
      </c>
      <c r="C47" s="14" t="str">
        <f t="shared" si="0"/>
        <v>2028</v>
      </c>
      <c r="D47" s="14" t="str">
        <f t="shared" si="1"/>
        <v>05</v>
      </c>
      <c r="E47" s="3" t="s">
        <v>63</v>
      </c>
      <c r="F47" s="3" t="s">
        <v>15</v>
      </c>
      <c r="G47" s="3" t="s">
        <v>38</v>
      </c>
      <c r="H47" s="3" t="s">
        <v>17</v>
      </c>
      <c r="I47" s="3" t="s">
        <v>86</v>
      </c>
      <c r="J47" s="3">
        <v>8</v>
      </c>
      <c r="K47" s="3">
        <v>55</v>
      </c>
      <c r="L47" s="3">
        <v>0.15</v>
      </c>
      <c r="M47" s="3">
        <v>331.18</v>
      </c>
      <c r="N47" s="3" t="s">
        <v>19</v>
      </c>
      <c r="O47" s="15">
        <f t="shared" si="2"/>
        <v>440</v>
      </c>
      <c r="P47" s="20">
        <f t="shared" si="3"/>
        <v>66</v>
      </c>
      <c r="R47" s="25">
        <f t="shared" si="5"/>
        <v>3520</v>
      </c>
      <c r="S47" s="24">
        <f t="shared" si="6"/>
        <v>0</v>
      </c>
      <c r="T47">
        <v>3520</v>
      </c>
    </row>
    <row r="48" spans="1:20" ht="15.6" thickTop="1" thickBot="1" x14ac:dyDescent="0.35">
      <c r="A48" s="8" t="s">
        <v>148</v>
      </c>
      <c r="B48" s="14">
        <v>46903</v>
      </c>
      <c r="C48" s="14" t="str">
        <f t="shared" si="0"/>
        <v>2028</v>
      </c>
      <c r="D48" s="14" t="str">
        <f t="shared" si="1"/>
        <v>05</v>
      </c>
      <c r="E48" s="9" t="s">
        <v>82</v>
      </c>
      <c r="F48" s="9" t="s">
        <v>15</v>
      </c>
      <c r="G48" s="9" t="s">
        <v>31</v>
      </c>
      <c r="H48" s="9" t="s">
        <v>17</v>
      </c>
      <c r="I48" s="9" t="s">
        <v>89</v>
      </c>
      <c r="J48" s="9">
        <v>4</v>
      </c>
      <c r="K48" s="9">
        <v>650</v>
      </c>
      <c r="L48" s="9">
        <v>0.1</v>
      </c>
      <c r="M48" s="9">
        <v>1605.22</v>
      </c>
      <c r="N48" s="9" t="s">
        <v>34</v>
      </c>
      <c r="O48" s="15">
        <f t="shared" si="2"/>
        <v>2600</v>
      </c>
      <c r="P48" s="20">
        <f t="shared" si="3"/>
        <v>260</v>
      </c>
      <c r="R48" s="25">
        <f t="shared" si="5"/>
        <v>10400</v>
      </c>
      <c r="S48" s="24">
        <f t="shared" si="6"/>
        <v>0</v>
      </c>
      <c r="T48">
        <v>10400</v>
      </c>
    </row>
    <row r="49" spans="1:20" ht="15.6" thickTop="1" thickBot="1" x14ac:dyDescent="0.35">
      <c r="A49" s="7" t="s">
        <v>150</v>
      </c>
      <c r="B49" s="14">
        <v>46904</v>
      </c>
      <c r="C49" s="14" t="str">
        <f t="shared" si="0"/>
        <v>2028</v>
      </c>
      <c r="D49" s="14" t="str">
        <f t="shared" si="1"/>
        <v>05</v>
      </c>
      <c r="E49" s="3" t="s">
        <v>92</v>
      </c>
      <c r="F49" s="3" t="s">
        <v>15</v>
      </c>
      <c r="G49" s="3" t="s">
        <v>59</v>
      </c>
      <c r="H49" s="3" t="s">
        <v>32</v>
      </c>
      <c r="I49" s="3" t="s">
        <v>33</v>
      </c>
      <c r="J49" s="3">
        <v>2</v>
      </c>
      <c r="K49" s="3">
        <v>1499</v>
      </c>
      <c r="L49" s="3">
        <v>0.15</v>
      </c>
      <c r="M49" s="3">
        <v>2021.65</v>
      </c>
      <c r="N49" s="3" t="s">
        <v>19</v>
      </c>
      <c r="O49" s="15">
        <f t="shared" si="2"/>
        <v>2998</v>
      </c>
      <c r="P49" s="20">
        <f t="shared" si="3"/>
        <v>449.7</v>
      </c>
      <c r="R49" s="25">
        <f t="shared" si="5"/>
        <v>5996</v>
      </c>
      <c r="S49" s="24">
        <f t="shared" si="6"/>
        <v>0</v>
      </c>
      <c r="T49">
        <v>5996</v>
      </c>
    </row>
    <row r="50" spans="1:20" ht="15.6" thickTop="1" thickBot="1" x14ac:dyDescent="0.35">
      <c r="A50" s="8" t="s">
        <v>152</v>
      </c>
      <c r="B50" s="14">
        <v>46905</v>
      </c>
      <c r="C50" s="14" t="str">
        <f t="shared" si="0"/>
        <v>2028</v>
      </c>
      <c r="D50" s="14" t="str">
        <f t="shared" si="1"/>
        <v>06</v>
      </c>
      <c r="E50" s="9" t="s">
        <v>37</v>
      </c>
      <c r="F50" s="9" t="s">
        <v>23</v>
      </c>
      <c r="G50" s="9" t="s">
        <v>24</v>
      </c>
      <c r="H50" s="9" t="s">
        <v>39</v>
      </c>
      <c r="I50" s="9" t="s">
        <v>40</v>
      </c>
      <c r="J50" s="9">
        <v>1</v>
      </c>
      <c r="K50" s="9">
        <v>1599</v>
      </c>
      <c r="L50" s="9">
        <v>0</v>
      </c>
      <c r="M50" s="9">
        <v>1252.8599999999999</v>
      </c>
      <c r="N50" s="9" t="s">
        <v>34</v>
      </c>
      <c r="O50" s="15">
        <f t="shared" si="2"/>
        <v>1599</v>
      </c>
      <c r="P50" s="20">
        <f t="shared" si="3"/>
        <v>0</v>
      </c>
      <c r="R50" s="25">
        <f t="shared" si="5"/>
        <v>1599</v>
      </c>
      <c r="S50" s="24">
        <f t="shared" si="6"/>
        <v>0</v>
      </c>
      <c r="T50">
        <v>1599</v>
      </c>
    </row>
    <row r="51" spans="1:20" ht="15.6" thickTop="1" thickBot="1" x14ac:dyDescent="0.35">
      <c r="A51" s="7" t="s">
        <v>154</v>
      </c>
      <c r="B51" s="14">
        <v>46906</v>
      </c>
      <c r="C51" s="14" t="str">
        <f t="shared" si="0"/>
        <v>2028</v>
      </c>
      <c r="D51" s="14" t="str">
        <f t="shared" si="1"/>
        <v>06</v>
      </c>
      <c r="E51" s="3" t="s">
        <v>76</v>
      </c>
      <c r="F51" s="3" t="s">
        <v>23</v>
      </c>
      <c r="G51" s="3" t="s">
        <v>59</v>
      </c>
      <c r="H51" s="3" t="s">
        <v>39</v>
      </c>
      <c r="I51" s="3" t="s">
        <v>48</v>
      </c>
      <c r="J51" s="3">
        <v>8</v>
      </c>
      <c r="K51" s="3">
        <v>799</v>
      </c>
      <c r="L51" s="3">
        <v>0.05</v>
      </c>
      <c r="M51" s="3">
        <v>5052.3999999999996</v>
      </c>
      <c r="N51" s="3" t="s">
        <v>19</v>
      </c>
      <c r="O51" s="15">
        <f t="shared" si="2"/>
        <v>6392</v>
      </c>
      <c r="P51" s="20">
        <f t="shared" si="3"/>
        <v>319.60000000000002</v>
      </c>
      <c r="R51" s="25">
        <f t="shared" si="5"/>
        <v>51136</v>
      </c>
      <c r="S51" s="24">
        <f t="shared" si="6"/>
        <v>0</v>
      </c>
    </row>
    <row r="52" spans="1:20" ht="15.6" thickTop="1" thickBot="1" x14ac:dyDescent="0.35">
      <c r="A52" s="8" t="s">
        <v>156</v>
      </c>
      <c r="B52" s="14">
        <v>46907</v>
      </c>
      <c r="C52" s="14" t="str">
        <f t="shared" si="0"/>
        <v>2028</v>
      </c>
      <c r="D52" s="14" t="str">
        <f t="shared" si="1"/>
        <v>06</v>
      </c>
      <c r="E52" s="9" t="s">
        <v>22</v>
      </c>
      <c r="F52" s="9" t="s">
        <v>23</v>
      </c>
      <c r="G52" s="9" t="s">
        <v>16</v>
      </c>
      <c r="H52" s="9" t="s">
        <v>32</v>
      </c>
      <c r="I52" s="9" t="s">
        <v>33</v>
      </c>
      <c r="J52" s="9">
        <v>8</v>
      </c>
      <c r="K52" s="9">
        <v>1499</v>
      </c>
      <c r="L52" s="9">
        <v>0.05</v>
      </c>
      <c r="M52" s="9">
        <v>9270.9699999999993</v>
      </c>
      <c r="N52" s="9" t="s">
        <v>67</v>
      </c>
      <c r="O52" s="15">
        <f t="shared" si="2"/>
        <v>11992</v>
      </c>
      <c r="P52" s="20">
        <f t="shared" si="3"/>
        <v>599.6</v>
      </c>
      <c r="R52" s="25">
        <f t="shared" si="5"/>
        <v>95936</v>
      </c>
      <c r="S52" s="24">
        <f t="shared" si="6"/>
        <v>0</v>
      </c>
    </row>
    <row r="53" spans="1:20" ht="15.6" thickTop="1" thickBot="1" x14ac:dyDescent="0.35">
      <c r="A53" s="7" t="s">
        <v>158</v>
      </c>
      <c r="B53" s="14">
        <v>46908</v>
      </c>
      <c r="C53" s="14" t="str">
        <f t="shared" si="0"/>
        <v>2028</v>
      </c>
      <c r="D53" s="14" t="str">
        <f t="shared" si="1"/>
        <v>06</v>
      </c>
      <c r="E53" s="3" t="s">
        <v>63</v>
      </c>
      <c r="F53" s="3" t="s">
        <v>15</v>
      </c>
      <c r="G53" s="3" t="s">
        <v>38</v>
      </c>
      <c r="H53" s="3" t="s">
        <v>17</v>
      </c>
      <c r="I53" s="3" t="s">
        <v>74</v>
      </c>
      <c r="J53" s="3">
        <v>8</v>
      </c>
      <c r="K53" s="3">
        <v>240</v>
      </c>
      <c r="L53" s="3">
        <v>0.05</v>
      </c>
      <c r="M53" s="3">
        <v>1214.17</v>
      </c>
      <c r="N53" s="3" t="s">
        <v>27</v>
      </c>
      <c r="O53" s="15">
        <f t="shared" si="2"/>
        <v>1920</v>
      </c>
      <c r="P53" s="20">
        <f t="shared" si="3"/>
        <v>96</v>
      </c>
      <c r="R53" s="25">
        <f t="shared" si="5"/>
        <v>15360</v>
      </c>
      <c r="S53" s="24">
        <f t="shared" si="6"/>
        <v>0</v>
      </c>
    </row>
    <row r="54" spans="1:20" ht="15.6" thickTop="1" thickBot="1" x14ac:dyDescent="0.35">
      <c r="A54" s="8" t="s">
        <v>160</v>
      </c>
      <c r="B54" s="14">
        <v>46909</v>
      </c>
      <c r="C54" s="14" t="str">
        <f t="shared" si="0"/>
        <v>2028</v>
      </c>
      <c r="D54" s="14" t="str">
        <f t="shared" si="1"/>
        <v>06</v>
      </c>
      <c r="E54" s="9" t="s">
        <v>30</v>
      </c>
      <c r="F54" s="9" t="s">
        <v>23</v>
      </c>
      <c r="G54" s="9" t="s">
        <v>24</v>
      </c>
      <c r="H54" s="9" t="s">
        <v>17</v>
      </c>
      <c r="I54" s="9" t="s">
        <v>74</v>
      </c>
      <c r="J54" s="9">
        <v>2</v>
      </c>
      <c r="K54" s="9">
        <v>240</v>
      </c>
      <c r="L54" s="9">
        <v>0.05</v>
      </c>
      <c r="M54" s="9">
        <v>285.72000000000003</v>
      </c>
      <c r="N54" s="9" t="s">
        <v>67</v>
      </c>
      <c r="O54" s="15">
        <f t="shared" si="2"/>
        <v>480</v>
      </c>
      <c r="P54" s="20">
        <f t="shared" si="3"/>
        <v>24</v>
      </c>
      <c r="R54" s="25">
        <f t="shared" si="5"/>
        <v>960</v>
      </c>
      <c r="S54" s="24">
        <f t="shared" si="6"/>
        <v>0</v>
      </c>
    </row>
    <row r="55" spans="1:20" ht="15.6" thickTop="1" thickBot="1" x14ac:dyDescent="0.35">
      <c r="A55" s="7" t="s">
        <v>161</v>
      </c>
      <c r="B55" s="14">
        <v>46910</v>
      </c>
      <c r="C55" s="14" t="str">
        <f t="shared" si="0"/>
        <v>2028</v>
      </c>
      <c r="D55" s="14" t="str">
        <f t="shared" si="1"/>
        <v>06</v>
      </c>
      <c r="E55" s="3" t="s">
        <v>82</v>
      </c>
      <c r="F55" s="3" t="s">
        <v>15</v>
      </c>
      <c r="G55" s="3" t="s">
        <v>47</v>
      </c>
      <c r="H55" s="3" t="s">
        <v>32</v>
      </c>
      <c r="I55" s="3" t="s">
        <v>97</v>
      </c>
      <c r="J55" s="3">
        <v>6</v>
      </c>
      <c r="K55" s="3">
        <v>899</v>
      </c>
      <c r="L55" s="3">
        <v>0.2</v>
      </c>
      <c r="M55" s="3">
        <v>3720.66</v>
      </c>
      <c r="N55" s="3" t="s">
        <v>27</v>
      </c>
      <c r="O55" s="15">
        <f t="shared" si="2"/>
        <v>5394</v>
      </c>
      <c r="P55" s="20">
        <f t="shared" si="3"/>
        <v>1078.8</v>
      </c>
      <c r="R55" s="25">
        <f t="shared" si="5"/>
        <v>32364</v>
      </c>
      <c r="S55" s="24">
        <f t="shared" si="6"/>
        <v>0</v>
      </c>
    </row>
    <row r="56" spans="1:20" ht="15.6" thickTop="1" thickBot="1" x14ac:dyDescent="0.35">
      <c r="A56" s="8" t="s">
        <v>163</v>
      </c>
      <c r="B56" s="14">
        <v>46911</v>
      </c>
      <c r="C56" s="14" t="str">
        <f t="shared" si="0"/>
        <v>2028</v>
      </c>
      <c r="D56" s="14" t="str">
        <f t="shared" si="1"/>
        <v>06</v>
      </c>
      <c r="E56" s="9" t="s">
        <v>37</v>
      </c>
      <c r="F56" s="9" t="s">
        <v>23</v>
      </c>
      <c r="G56" s="9" t="s">
        <v>47</v>
      </c>
      <c r="H56" s="9" t="s">
        <v>25</v>
      </c>
      <c r="I56" s="9" t="s">
        <v>70</v>
      </c>
      <c r="J56" s="9">
        <v>7</v>
      </c>
      <c r="K56" s="9">
        <v>1299</v>
      </c>
      <c r="L56" s="9">
        <v>0.15</v>
      </c>
      <c r="M56" s="9">
        <v>5017.2299999999996</v>
      </c>
      <c r="N56" s="9" t="s">
        <v>44</v>
      </c>
      <c r="O56" s="15">
        <f t="shared" si="2"/>
        <v>9093</v>
      </c>
      <c r="P56" s="20">
        <f t="shared" si="3"/>
        <v>1363.95</v>
      </c>
      <c r="R56" s="25">
        <f t="shared" si="5"/>
        <v>63651</v>
      </c>
      <c r="S56" s="24">
        <f t="shared" si="6"/>
        <v>0</v>
      </c>
    </row>
    <row r="57" spans="1:20" ht="15.6" thickTop="1" thickBot="1" x14ac:dyDescent="0.35">
      <c r="A57" s="7" t="s">
        <v>165</v>
      </c>
      <c r="B57" s="14">
        <v>46912</v>
      </c>
      <c r="C57" s="14" t="str">
        <f t="shared" si="0"/>
        <v>2028</v>
      </c>
      <c r="D57" s="14" t="str">
        <f t="shared" si="1"/>
        <v>06</v>
      </c>
      <c r="E57" s="3" t="s">
        <v>37</v>
      </c>
      <c r="F57" s="3" t="s">
        <v>23</v>
      </c>
      <c r="G57" s="3" t="s">
        <v>16</v>
      </c>
      <c r="H57" s="3" t="s">
        <v>39</v>
      </c>
      <c r="I57" s="3" t="s">
        <v>66</v>
      </c>
      <c r="J57" s="3">
        <v>4</v>
      </c>
      <c r="K57" s="3">
        <v>1199</v>
      </c>
      <c r="L57" s="3">
        <v>0.1</v>
      </c>
      <c r="M57" s="3">
        <v>3264.88</v>
      </c>
      <c r="N57" s="3" t="s">
        <v>27</v>
      </c>
      <c r="O57" s="15">
        <f t="shared" si="2"/>
        <v>4796</v>
      </c>
      <c r="P57" s="20">
        <f t="shared" si="3"/>
        <v>479.6</v>
      </c>
      <c r="R57" s="25">
        <f t="shared" si="5"/>
        <v>19184</v>
      </c>
      <c r="S57" s="24">
        <f t="shared" si="6"/>
        <v>0</v>
      </c>
    </row>
    <row r="58" spans="1:20" ht="15.6" thickTop="1" thickBot="1" x14ac:dyDescent="0.35">
      <c r="A58" s="8" t="s">
        <v>167</v>
      </c>
      <c r="B58" s="14">
        <v>46913</v>
      </c>
      <c r="C58" s="14" t="str">
        <f t="shared" si="0"/>
        <v>2028</v>
      </c>
      <c r="D58" s="14" t="str">
        <f t="shared" si="1"/>
        <v>06</v>
      </c>
      <c r="E58" s="9" t="s">
        <v>853</v>
      </c>
      <c r="F58" s="9" t="s">
        <v>23</v>
      </c>
      <c r="G58" s="9" t="s">
        <v>24</v>
      </c>
      <c r="H58" s="9" t="s">
        <v>39</v>
      </c>
      <c r="I58" s="9" t="s">
        <v>66</v>
      </c>
      <c r="J58" s="9">
        <v>3</v>
      </c>
      <c r="K58" s="9">
        <v>1199</v>
      </c>
      <c r="L58" s="9">
        <v>0.2</v>
      </c>
      <c r="M58" s="9">
        <v>2554.7199999999998</v>
      </c>
      <c r="N58" s="9" t="s">
        <v>67</v>
      </c>
      <c r="O58" s="15">
        <f t="shared" si="2"/>
        <v>3597</v>
      </c>
      <c r="P58" s="20">
        <f t="shared" si="3"/>
        <v>719.40000000000009</v>
      </c>
      <c r="R58" s="25">
        <f t="shared" si="5"/>
        <v>10791</v>
      </c>
      <c r="S58" s="24">
        <f t="shared" si="6"/>
        <v>0</v>
      </c>
    </row>
    <row r="59" spans="1:20" ht="15.6" thickTop="1" thickBot="1" x14ac:dyDescent="0.35">
      <c r="A59" s="7" t="s">
        <v>169</v>
      </c>
      <c r="B59" s="14">
        <v>46914</v>
      </c>
      <c r="C59" s="14" t="str">
        <f t="shared" si="0"/>
        <v>2028</v>
      </c>
      <c r="D59" s="14" t="str">
        <f t="shared" si="1"/>
        <v>06</v>
      </c>
      <c r="E59" s="3" t="s">
        <v>22</v>
      </c>
      <c r="F59" s="3" t="s">
        <v>15</v>
      </c>
      <c r="G59" s="3" t="s">
        <v>38</v>
      </c>
      <c r="H59" s="3" t="s">
        <v>32</v>
      </c>
      <c r="I59" s="3" t="s">
        <v>60</v>
      </c>
      <c r="J59" s="3">
        <v>8</v>
      </c>
      <c r="K59" s="3">
        <v>1299</v>
      </c>
      <c r="L59" s="3">
        <v>0.05</v>
      </c>
      <c r="M59" s="3">
        <v>5872.37</v>
      </c>
      <c r="N59" s="3" t="s">
        <v>67</v>
      </c>
      <c r="O59" s="15">
        <f t="shared" si="2"/>
        <v>10392</v>
      </c>
      <c r="P59" s="20">
        <f t="shared" si="3"/>
        <v>519.6</v>
      </c>
      <c r="R59" s="25">
        <f t="shared" si="5"/>
        <v>83136</v>
      </c>
      <c r="S59" s="24">
        <f t="shared" si="6"/>
        <v>0</v>
      </c>
    </row>
    <row r="60" spans="1:20" ht="15.6" thickTop="1" thickBot="1" x14ac:dyDescent="0.35">
      <c r="A60" s="8" t="s">
        <v>171</v>
      </c>
      <c r="B60" s="14">
        <v>46915</v>
      </c>
      <c r="C60" s="14" t="str">
        <f t="shared" si="0"/>
        <v>2028</v>
      </c>
      <c r="D60" s="14" t="str">
        <f t="shared" si="1"/>
        <v>06</v>
      </c>
      <c r="E60" s="9" t="s">
        <v>30</v>
      </c>
      <c r="F60" s="9" t="s">
        <v>23</v>
      </c>
      <c r="G60" s="9" t="s">
        <v>38</v>
      </c>
      <c r="H60" s="9" t="s">
        <v>17</v>
      </c>
      <c r="I60" s="9" t="s">
        <v>86</v>
      </c>
      <c r="J60" s="9">
        <v>5</v>
      </c>
      <c r="K60" s="9">
        <v>55</v>
      </c>
      <c r="L60" s="9">
        <v>0.15</v>
      </c>
      <c r="M60" s="9">
        <v>172.06</v>
      </c>
      <c r="N60" s="9" t="s">
        <v>27</v>
      </c>
      <c r="O60" s="15">
        <f t="shared" si="2"/>
        <v>275</v>
      </c>
      <c r="P60" s="20">
        <f t="shared" si="3"/>
        <v>41.25</v>
      </c>
      <c r="R60" s="25">
        <f t="shared" si="5"/>
        <v>1375</v>
      </c>
      <c r="S60" s="24">
        <f t="shared" si="6"/>
        <v>0</v>
      </c>
    </row>
    <row r="61" spans="1:20" ht="15.6" thickTop="1" thickBot="1" x14ac:dyDescent="0.35">
      <c r="A61" s="7" t="s">
        <v>173</v>
      </c>
      <c r="B61" s="14">
        <v>46916</v>
      </c>
      <c r="C61" s="14" t="str">
        <f t="shared" si="0"/>
        <v>2028</v>
      </c>
      <c r="D61" s="14" t="str">
        <f t="shared" si="1"/>
        <v>06</v>
      </c>
      <c r="E61" s="3" t="s">
        <v>92</v>
      </c>
      <c r="F61" s="3" t="s">
        <v>15</v>
      </c>
      <c r="G61" s="3" t="s">
        <v>31</v>
      </c>
      <c r="H61" s="3" t="s">
        <v>39</v>
      </c>
      <c r="I61" s="3" t="s">
        <v>48</v>
      </c>
      <c r="J61" s="3">
        <v>1</v>
      </c>
      <c r="K61" s="3">
        <v>799</v>
      </c>
      <c r="L61" s="3">
        <v>0</v>
      </c>
      <c r="M61" s="3">
        <v>667.07</v>
      </c>
      <c r="N61" s="3" t="s">
        <v>34</v>
      </c>
      <c r="O61" s="15">
        <f t="shared" si="2"/>
        <v>799</v>
      </c>
      <c r="P61" s="20">
        <f t="shared" si="3"/>
        <v>0</v>
      </c>
      <c r="R61" s="25">
        <f t="shared" si="5"/>
        <v>799</v>
      </c>
      <c r="S61" s="24">
        <f t="shared" si="6"/>
        <v>0</v>
      </c>
    </row>
    <row r="62" spans="1:20" ht="15.6" thickTop="1" thickBot="1" x14ac:dyDescent="0.35">
      <c r="A62" s="8" t="s">
        <v>175</v>
      </c>
      <c r="B62" s="14">
        <v>46917</v>
      </c>
      <c r="C62" s="14" t="str">
        <f t="shared" si="0"/>
        <v>2028</v>
      </c>
      <c r="D62" s="14" t="str">
        <f t="shared" si="1"/>
        <v>06</v>
      </c>
      <c r="E62" s="9" t="s">
        <v>22</v>
      </c>
      <c r="F62" s="9" t="s">
        <v>15</v>
      </c>
      <c r="G62" s="9" t="s">
        <v>31</v>
      </c>
      <c r="H62" s="9" t="s">
        <v>39</v>
      </c>
      <c r="I62" s="9" t="s">
        <v>66</v>
      </c>
      <c r="J62" s="9">
        <v>2</v>
      </c>
      <c r="K62" s="9">
        <v>1199</v>
      </c>
      <c r="L62" s="9">
        <v>0.2</v>
      </c>
      <c r="M62" s="9">
        <v>2000.72</v>
      </c>
      <c r="N62" s="9" t="s">
        <v>67</v>
      </c>
      <c r="O62" s="15">
        <f t="shared" si="2"/>
        <v>2398</v>
      </c>
      <c r="P62" s="20">
        <f t="shared" si="3"/>
        <v>479.6</v>
      </c>
      <c r="R62" s="25">
        <f t="shared" si="5"/>
        <v>4796</v>
      </c>
      <c r="S62" s="24">
        <f t="shared" si="6"/>
        <v>0</v>
      </c>
    </row>
    <row r="63" spans="1:20" ht="15.6" thickTop="1" thickBot="1" x14ac:dyDescent="0.35">
      <c r="A63" s="7" t="s">
        <v>177</v>
      </c>
      <c r="B63" s="14">
        <v>46918</v>
      </c>
      <c r="C63" s="14" t="str">
        <f t="shared" si="0"/>
        <v>2028</v>
      </c>
      <c r="D63" s="14" t="str">
        <f t="shared" si="1"/>
        <v>06</v>
      </c>
      <c r="E63" s="3" t="s">
        <v>63</v>
      </c>
      <c r="F63" s="3" t="s">
        <v>23</v>
      </c>
      <c r="G63" s="3" t="s">
        <v>16</v>
      </c>
      <c r="H63" s="3" t="s">
        <v>25</v>
      </c>
      <c r="I63" s="3" t="s">
        <v>79</v>
      </c>
      <c r="J63" s="3">
        <v>5</v>
      </c>
      <c r="K63" s="3">
        <v>899</v>
      </c>
      <c r="L63" s="3">
        <v>0</v>
      </c>
      <c r="M63" s="3">
        <v>3252.61</v>
      </c>
      <c r="N63" s="3" t="s">
        <v>44</v>
      </c>
      <c r="O63" s="15">
        <f t="shared" si="2"/>
        <v>4495</v>
      </c>
      <c r="P63" s="20">
        <f t="shared" si="3"/>
        <v>0</v>
      </c>
      <c r="R63" s="25">
        <f t="shared" si="5"/>
        <v>22475</v>
      </c>
      <c r="S63" s="24">
        <f t="shared" si="6"/>
        <v>0</v>
      </c>
    </row>
    <row r="64" spans="1:20" ht="15.6" thickTop="1" thickBot="1" x14ac:dyDescent="0.35">
      <c r="A64" s="8" t="s">
        <v>179</v>
      </c>
      <c r="B64" s="14">
        <v>46919</v>
      </c>
      <c r="C64" s="14" t="str">
        <f t="shared" si="0"/>
        <v>2028</v>
      </c>
      <c r="D64" s="14" t="str">
        <f t="shared" si="1"/>
        <v>06</v>
      </c>
      <c r="E64" s="9" t="s">
        <v>37</v>
      </c>
      <c r="F64" s="9" t="s">
        <v>23</v>
      </c>
      <c r="G64" s="9" t="s">
        <v>47</v>
      </c>
      <c r="H64" s="9" t="s">
        <v>39</v>
      </c>
      <c r="I64" s="9" t="s">
        <v>48</v>
      </c>
      <c r="J64" s="9">
        <v>4</v>
      </c>
      <c r="K64" s="9">
        <v>799</v>
      </c>
      <c r="L64" s="9">
        <v>0</v>
      </c>
      <c r="M64" s="9">
        <v>2426.27</v>
      </c>
      <c r="N64" s="9" t="s">
        <v>44</v>
      </c>
      <c r="O64" s="15">
        <f t="shared" si="2"/>
        <v>3196</v>
      </c>
      <c r="P64" s="20">
        <f t="shared" si="3"/>
        <v>0</v>
      </c>
      <c r="R64" s="25">
        <f t="shared" si="5"/>
        <v>12784</v>
      </c>
      <c r="S64" s="24">
        <f t="shared" si="6"/>
        <v>0</v>
      </c>
    </row>
    <row r="65" spans="1:19" ht="15.6" thickTop="1" thickBot="1" x14ac:dyDescent="0.35">
      <c r="A65" s="7" t="s">
        <v>181</v>
      </c>
      <c r="B65" s="14">
        <v>46920</v>
      </c>
      <c r="C65" s="14" t="str">
        <f t="shared" si="0"/>
        <v>2028</v>
      </c>
      <c r="D65" s="14" t="str">
        <f t="shared" si="1"/>
        <v>06</v>
      </c>
      <c r="E65" s="3" t="s">
        <v>22</v>
      </c>
      <c r="F65" s="3" t="s">
        <v>15</v>
      </c>
      <c r="G65" s="3" t="s">
        <v>24</v>
      </c>
      <c r="H65" s="3" t="s">
        <v>25</v>
      </c>
      <c r="I65" s="3" t="s">
        <v>56</v>
      </c>
      <c r="J65" s="3">
        <v>7</v>
      </c>
      <c r="K65" s="3">
        <v>1499</v>
      </c>
      <c r="L65" s="3">
        <v>0.1</v>
      </c>
      <c r="M65" s="3">
        <v>5988.22</v>
      </c>
      <c r="N65" s="3" t="s">
        <v>44</v>
      </c>
      <c r="O65" s="15">
        <f t="shared" si="2"/>
        <v>10493</v>
      </c>
      <c r="P65" s="20">
        <f t="shared" si="3"/>
        <v>1049.3</v>
      </c>
      <c r="R65" s="25">
        <f t="shared" si="5"/>
        <v>73451</v>
      </c>
      <c r="S65" s="24">
        <f t="shared" si="6"/>
        <v>0</v>
      </c>
    </row>
    <row r="66" spans="1:19" ht="15.6" thickTop="1" thickBot="1" x14ac:dyDescent="0.35">
      <c r="A66" s="8" t="s">
        <v>183</v>
      </c>
      <c r="B66" s="14">
        <v>46921</v>
      </c>
      <c r="C66" s="14" t="str">
        <f t="shared" si="0"/>
        <v>2028</v>
      </c>
      <c r="D66" s="14" t="str">
        <f t="shared" si="1"/>
        <v>06</v>
      </c>
      <c r="E66" s="9" t="s">
        <v>37</v>
      </c>
      <c r="F66" s="9" t="s">
        <v>23</v>
      </c>
      <c r="G66" s="9" t="s">
        <v>59</v>
      </c>
      <c r="H66" s="9" t="s">
        <v>32</v>
      </c>
      <c r="I66" s="9" t="s">
        <v>51</v>
      </c>
      <c r="J66" s="9">
        <v>8</v>
      </c>
      <c r="K66" s="9">
        <v>699</v>
      </c>
      <c r="L66" s="9">
        <v>0.05</v>
      </c>
      <c r="M66" s="9">
        <v>3806.17</v>
      </c>
      <c r="N66" s="9" t="s">
        <v>19</v>
      </c>
      <c r="O66" s="15">
        <f t="shared" si="2"/>
        <v>5592</v>
      </c>
      <c r="P66" s="20">
        <f t="shared" si="3"/>
        <v>279.60000000000002</v>
      </c>
      <c r="R66" s="25">
        <f t="shared" si="5"/>
        <v>44736</v>
      </c>
      <c r="S66" s="24">
        <f t="shared" si="6"/>
        <v>0</v>
      </c>
    </row>
    <row r="67" spans="1:19" ht="15.6" thickTop="1" thickBot="1" x14ac:dyDescent="0.35">
      <c r="A67" s="7" t="s">
        <v>185</v>
      </c>
      <c r="B67" s="14">
        <v>46922</v>
      </c>
      <c r="C67" s="14" t="str">
        <f t="shared" ref="C67:C130" si="7">TEXT(B67,"YYYY")</f>
        <v>2028</v>
      </c>
      <c r="D67" s="14" t="str">
        <f t="shared" ref="D67:D130" si="8">TEXT(B67,"MM")</f>
        <v>06</v>
      </c>
      <c r="E67" s="3" t="s">
        <v>63</v>
      </c>
      <c r="F67" s="3" t="s">
        <v>23</v>
      </c>
      <c r="G67" s="3" t="s">
        <v>59</v>
      </c>
      <c r="H67" s="3" t="s">
        <v>32</v>
      </c>
      <c r="I67" s="3" t="s">
        <v>33</v>
      </c>
      <c r="J67" s="3">
        <v>5</v>
      </c>
      <c r="K67" s="3">
        <v>1499</v>
      </c>
      <c r="L67" s="3">
        <v>0.1</v>
      </c>
      <c r="M67" s="3">
        <v>6037.33</v>
      </c>
      <c r="N67" s="3" t="s">
        <v>27</v>
      </c>
      <c r="O67" s="15">
        <f t="shared" ref="O67:O130" si="9">J67*K67</f>
        <v>7495</v>
      </c>
      <c r="P67" s="20">
        <f t="shared" ref="P67:P130" si="10">O67*L67</f>
        <v>749.5</v>
      </c>
      <c r="R67" s="25">
        <f t="shared" ref="R67:R130" si="11">J67*(O67)</f>
        <v>37475</v>
      </c>
      <c r="S67" s="24">
        <f t="shared" ref="S67:S130" si="12">IFERROR(R67 / Q67,0)</f>
        <v>0</v>
      </c>
    </row>
    <row r="68" spans="1:19" ht="15.6" thickTop="1" thickBot="1" x14ac:dyDescent="0.35">
      <c r="A68" s="8" t="s">
        <v>187</v>
      </c>
      <c r="B68" s="14">
        <v>46923</v>
      </c>
      <c r="C68" s="14" t="str">
        <f t="shared" si="7"/>
        <v>2028</v>
      </c>
      <c r="D68" s="14" t="str">
        <f t="shared" si="8"/>
        <v>06</v>
      </c>
      <c r="E68" s="9" t="s">
        <v>73</v>
      </c>
      <c r="F68" s="9" t="s">
        <v>15</v>
      </c>
      <c r="G68" s="9" t="s">
        <v>38</v>
      </c>
      <c r="H68" s="9" t="s">
        <v>32</v>
      </c>
      <c r="I68" s="9" t="s">
        <v>51</v>
      </c>
      <c r="J68" s="9">
        <v>1</v>
      </c>
      <c r="K68" s="9">
        <v>699</v>
      </c>
      <c r="L68" s="9">
        <v>0.15</v>
      </c>
      <c r="M68" s="9">
        <v>562.89</v>
      </c>
      <c r="N68" s="9" t="s">
        <v>34</v>
      </c>
      <c r="O68" s="15">
        <f t="shared" si="9"/>
        <v>699</v>
      </c>
      <c r="P68" s="20">
        <f t="shared" si="10"/>
        <v>104.85</v>
      </c>
      <c r="R68" s="25">
        <f t="shared" si="11"/>
        <v>699</v>
      </c>
      <c r="S68" s="24">
        <f t="shared" si="12"/>
        <v>0</v>
      </c>
    </row>
    <row r="69" spans="1:19" ht="15.6" thickTop="1" thickBot="1" x14ac:dyDescent="0.35">
      <c r="A69" s="7" t="s">
        <v>189</v>
      </c>
      <c r="B69" s="14">
        <v>46924</v>
      </c>
      <c r="C69" s="14" t="str">
        <f t="shared" si="7"/>
        <v>2028</v>
      </c>
      <c r="D69" s="14" t="str">
        <f t="shared" si="8"/>
        <v>06</v>
      </c>
      <c r="E69" s="3" t="s">
        <v>30</v>
      </c>
      <c r="F69" s="3" t="s">
        <v>23</v>
      </c>
      <c r="G69" s="3" t="s">
        <v>59</v>
      </c>
      <c r="H69" s="3" t="s">
        <v>17</v>
      </c>
      <c r="I69" s="3" t="s">
        <v>113</v>
      </c>
      <c r="J69" s="3">
        <v>5</v>
      </c>
      <c r="K69" s="3">
        <v>180</v>
      </c>
      <c r="L69" s="3">
        <v>0.2</v>
      </c>
      <c r="M69" s="3">
        <v>497.74</v>
      </c>
      <c r="N69" s="3" t="s">
        <v>34</v>
      </c>
      <c r="O69" s="15">
        <f t="shared" si="9"/>
        <v>900</v>
      </c>
      <c r="P69" s="20">
        <f t="shared" si="10"/>
        <v>180</v>
      </c>
      <c r="R69" s="25">
        <f t="shared" si="11"/>
        <v>4500</v>
      </c>
      <c r="S69" s="24">
        <f t="shared" si="12"/>
        <v>0</v>
      </c>
    </row>
    <row r="70" spans="1:19" ht="15.6" thickTop="1" thickBot="1" x14ac:dyDescent="0.35">
      <c r="A70" s="8" t="s">
        <v>191</v>
      </c>
      <c r="B70" s="14">
        <v>46925</v>
      </c>
      <c r="C70" s="14" t="str">
        <f t="shared" si="7"/>
        <v>2028</v>
      </c>
      <c r="D70" s="14" t="str">
        <f t="shared" si="8"/>
        <v>06</v>
      </c>
      <c r="E70" s="9" t="s">
        <v>30</v>
      </c>
      <c r="F70" s="9" t="s">
        <v>23</v>
      </c>
      <c r="G70" s="9" t="s">
        <v>16</v>
      </c>
      <c r="H70" s="9" t="s">
        <v>39</v>
      </c>
      <c r="I70" s="9" t="s">
        <v>66</v>
      </c>
      <c r="J70" s="9">
        <v>8</v>
      </c>
      <c r="K70" s="9">
        <v>1199</v>
      </c>
      <c r="L70" s="9">
        <v>0.15</v>
      </c>
      <c r="M70" s="9">
        <v>7557.34</v>
      </c>
      <c r="N70" s="9" t="s">
        <v>27</v>
      </c>
      <c r="O70" s="15">
        <f t="shared" si="9"/>
        <v>9592</v>
      </c>
      <c r="P70" s="20">
        <f t="shared" si="10"/>
        <v>1438.8</v>
      </c>
      <c r="R70" s="25">
        <f t="shared" si="11"/>
        <v>76736</v>
      </c>
      <c r="S70" s="24">
        <f t="shared" si="12"/>
        <v>0</v>
      </c>
    </row>
    <row r="71" spans="1:19" ht="15.6" thickTop="1" thickBot="1" x14ac:dyDescent="0.35">
      <c r="A71" s="7" t="s">
        <v>193</v>
      </c>
      <c r="B71" s="14">
        <v>46926</v>
      </c>
      <c r="C71" s="14" t="str">
        <f t="shared" si="7"/>
        <v>2028</v>
      </c>
      <c r="D71" s="14" t="str">
        <f t="shared" si="8"/>
        <v>06</v>
      </c>
      <c r="E71" s="3" t="s">
        <v>30</v>
      </c>
      <c r="F71" s="3" t="s">
        <v>23</v>
      </c>
      <c r="G71" s="3" t="s">
        <v>38</v>
      </c>
      <c r="H71" s="3" t="s">
        <v>39</v>
      </c>
      <c r="I71" s="3" t="s">
        <v>106</v>
      </c>
      <c r="J71" s="3">
        <v>6</v>
      </c>
      <c r="K71" s="3">
        <v>999</v>
      </c>
      <c r="L71" s="3">
        <v>0.15</v>
      </c>
      <c r="M71" s="3">
        <v>4291.96</v>
      </c>
      <c r="N71" s="3" t="s">
        <v>44</v>
      </c>
      <c r="O71" s="15">
        <f t="shared" si="9"/>
        <v>5994</v>
      </c>
      <c r="P71" s="20">
        <f t="shared" si="10"/>
        <v>899.1</v>
      </c>
      <c r="R71" s="25">
        <f t="shared" si="11"/>
        <v>35964</v>
      </c>
      <c r="S71" s="24">
        <f t="shared" si="12"/>
        <v>0</v>
      </c>
    </row>
    <row r="72" spans="1:19" ht="15.6" thickTop="1" thickBot="1" x14ac:dyDescent="0.35">
      <c r="A72" s="8" t="s">
        <v>195</v>
      </c>
      <c r="B72" s="14">
        <v>46927</v>
      </c>
      <c r="C72" s="14" t="str">
        <f t="shared" si="7"/>
        <v>2028</v>
      </c>
      <c r="D72" s="14" t="str">
        <f t="shared" si="8"/>
        <v>06</v>
      </c>
      <c r="E72" s="9" t="s">
        <v>76</v>
      </c>
      <c r="F72" s="9" t="s">
        <v>23</v>
      </c>
      <c r="G72" s="9" t="s">
        <v>31</v>
      </c>
      <c r="H72" s="9" t="s">
        <v>32</v>
      </c>
      <c r="I72" s="9" t="s">
        <v>51</v>
      </c>
      <c r="J72" s="9">
        <v>5</v>
      </c>
      <c r="K72" s="9">
        <v>699</v>
      </c>
      <c r="L72" s="9">
        <v>0.1</v>
      </c>
      <c r="M72" s="9">
        <v>2163.9699999999998</v>
      </c>
      <c r="N72" s="9" t="s">
        <v>34</v>
      </c>
      <c r="O72" s="15">
        <f t="shared" si="9"/>
        <v>3495</v>
      </c>
      <c r="P72" s="20">
        <f t="shared" si="10"/>
        <v>349.5</v>
      </c>
      <c r="R72" s="25">
        <f t="shared" si="11"/>
        <v>17475</v>
      </c>
      <c r="S72" s="24">
        <f t="shared" si="12"/>
        <v>0</v>
      </c>
    </row>
    <row r="73" spans="1:19" ht="15.6" thickTop="1" thickBot="1" x14ac:dyDescent="0.35">
      <c r="A73" s="7" t="s">
        <v>197</v>
      </c>
      <c r="B73" s="14">
        <v>46928</v>
      </c>
      <c r="C73" s="14" t="str">
        <f t="shared" si="7"/>
        <v>2028</v>
      </c>
      <c r="D73" s="14" t="str">
        <f t="shared" si="8"/>
        <v>06</v>
      </c>
      <c r="E73" s="3" t="s">
        <v>14</v>
      </c>
      <c r="F73" s="3" t="s">
        <v>15</v>
      </c>
      <c r="G73" s="3" t="s">
        <v>31</v>
      </c>
      <c r="H73" s="3" t="s">
        <v>39</v>
      </c>
      <c r="I73" s="3" t="s">
        <v>66</v>
      </c>
      <c r="J73" s="3">
        <v>5</v>
      </c>
      <c r="K73" s="3">
        <v>1199</v>
      </c>
      <c r="L73" s="3">
        <v>0.2</v>
      </c>
      <c r="M73" s="3">
        <v>5053.68</v>
      </c>
      <c r="N73" s="3" t="s">
        <v>19</v>
      </c>
      <c r="O73" s="15">
        <f t="shared" si="9"/>
        <v>5995</v>
      </c>
      <c r="P73" s="20">
        <f t="shared" si="10"/>
        <v>1199</v>
      </c>
      <c r="R73" s="25">
        <f t="shared" si="11"/>
        <v>29975</v>
      </c>
      <c r="S73" s="24">
        <f t="shared" si="12"/>
        <v>0</v>
      </c>
    </row>
    <row r="74" spans="1:19" ht="15.6" thickTop="1" thickBot="1" x14ac:dyDescent="0.35">
      <c r="A74" s="8" t="s">
        <v>198</v>
      </c>
      <c r="B74" s="14">
        <v>46929</v>
      </c>
      <c r="C74" s="14" t="str">
        <f t="shared" si="7"/>
        <v>2028</v>
      </c>
      <c r="D74" s="14" t="str">
        <f t="shared" si="8"/>
        <v>06</v>
      </c>
      <c r="E74" s="9" t="s">
        <v>63</v>
      </c>
      <c r="F74" s="9" t="s">
        <v>15</v>
      </c>
      <c r="G74" s="9" t="s">
        <v>31</v>
      </c>
      <c r="H74" s="9" t="s">
        <v>17</v>
      </c>
      <c r="I74" s="9" t="s">
        <v>18</v>
      </c>
      <c r="J74" s="9">
        <v>6</v>
      </c>
      <c r="K74" s="9">
        <v>420</v>
      </c>
      <c r="L74" s="9">
        <v>0.05</v>
      </c>
      <c r="M74" s="9">
        <v>1614.51</v>
      </c>
      <c r="N74" s="9" t="s">
        <v>19</v>
      </c>
      <c r="O74" s="15">
        <f t="shared" si="9"/>
        <v>2520</v>
      </c>
      <c r="P74" s="20">
        <f t="shared" si="10"/>
        <v>126</v>
      </c>
      <c r="R74" s="25">
        <f t="shared" si="11"/>
        <v>15120</v>
      </c>
      <c r="S74" s="24">
        <f t="shared" si="12"/>
        <v>0</v>
      </c>
    </row>
    <row r="75" spans="1:19" ht="15.6" thickTop="1" thickBot="1" x14ac:dyDescent="0.35">
      <c r="A75" s="7" t="s">
        <v>200</v>
      </c>
      <c r="B75" s="14">
        <v>46930</v>
      </c>
      <c r="C75" s="14" t="str">
        <f t="shared" si="7"/>
        <v>2028</v>
      </c>
      <c r="D75" s="14" t="str">
        <f t="shared" si="8"/>
        <v>06</v>
      </c>
      <c r="E75" s="3" t="s">
        <v>63</v>
      </c>
      <c r="F75" s="3" t="s">
        <v>15</v>
      </c>
      <c r="G75" s="3" t="s">
        <v>853</v>
      </c>
      <c r="H75" s="3" t="s">
        <v>17</v>
      </c>
      <c r="I75" s="3" t="s">
        <v>18</v>
      </c>
      <c r="J75" s="3">
        <v>8</v>
      </c>
      <c r="K75" s="3">
        <v>420</v>
      </c>
      <c r="L75" s="3">
        <v>0</v>
      </c>
      <c r="M75" s="3">
        <v>2727.7</v>
      </c>
      <c r="N75" s="3" t="s">
        <v>19</v>
      </c>
      <c r="O75" s="15">
        <f t="shared" si="9"/>
        <v>3360</v>
      </c>
      <c r="P75" s="20">
        <f t="shared" si="10"/>
        <v>0</v>
      </c>
      <c r="R75" s="25">
        <f t="shared" si="11"/>
        <v>26880</v>
      </c>
      <c r="S75" s="24">
        <f t="shared" si="12"/>
        <v>0</v>
      </c>
    </row>
    <row r="76" spans="1:19" ht="15.6" thickTop="1" thickBot="1" x14ac:dyDescent="0.35">
      <c r="A76" s="8" t="s">
        <v>202</v>
      </c>
      <c r="B76" s="14">
        <v>46931</v>
      </c>
      <c r="C76" s="14" t="str">
        <f t="shared" si="7"/>
        <v>2028</v>
      </c>
      <c r="D76" s="14" t="str">
        <f t="shared" si="8"/>
        <v>06</v>
      </c>
      <c r="E76" s="9" t="s">
        <v>73</v>
      </c>
      <c r="F76" s="9" t="s">
        <v>23</v>
      </c>
      <c r="G76" s="9" t="s">
        <v>59</v>
      </c>
      <c r="H76" s="9" t="s">
        <v>17</v>
      </c>
      <c r="I76" s="9" t="s">
        <v>18</v>
      </c>
      <c r="J76" s="9">
        <v>1</v>
      </c>
      <c r="K76" s="9">
        <v>420</v>
      </c>
      <c r="L76" s="9">
        <v>0.1</v>
      </c>
      <c r="M76" s="9">
        <v>349.57</v>
      </c>
      <c r="N76" s="9" t="s">
        <v>67</v>
      </c>
      <c r="O76" s="15">
        <f t="shared" si="9"/>
        <v>420</v>
      </c>
      <c r="P76" s="20">
        <f t="shared" si="10"/>
        <v>42</v>
      </c>
      <c r="R76" s="25">
        <f t="shared" si="11"/>
        <v>420</v>
      </c>
      <c r="S76" s="24">
        <f t="shared" si="12"/>
        <v>0</v>
      </c>
    </row>
    <row r="77" spans="1:19" ht="15.6" thickTop="1" thickBot="1" x14ac:dyDescent="0.35">
      <c r="A77" s="7" t="s">
        <v>203</v>
      </c>
      <c r="B77" s="14">
        <v>46932</v>
      </c>
      <c r="C77" s="14" t="str">
        <f t="shared" si="7"/>
        <v>2028</v>
      </c>
      <c r="D77" s="14" t="str">
        <f t="shared" si="8"/>
        <v>06</v>
      </c>
      <c r="E77" s="3" t="s">
        <v>14</v>
      </c>
      <c r="F77" s="3" t="s">
        <v>23</v>
      </c>
      <c r="G77" s="3" t="s">
        <v>59</v>
      </c>
      <c r="H77" s="3" t="s">
        <v>25</v>
      </c>
      <c r="I77" s="3" t="s">
        <v>70</v>
      </c>
      <c r="J77" s="3">
        <v>1</v>
      </c>
      <c r="K77" s="3">
        <v>1299</v>
      </c>
      <c r="L77" s="3">
        <v>0.05</v>
      </c>
      <c r="M77" s="3">
        <v>772.59</v>
      </c>
      <c r="N77" s="3" t="s">
        <v>19</v>
      </c>
      <c r="O77" s="15">
        <f t="shared" si="9"/>
        <v>1299</v>
      </c>
      <c r="P77" s="20">
        <f t="shared" si="10"/>
        <v>64.95</v>
      </c>
      <c r="R77" s="25">
        <f t="shared" si="11"/>
        <v>1299</v>
      </c>
      <c r="S77" s="24">
        <f t="shared" si="12"/>
        <v>0</v>
      </c>
    </row>
    <row r="78" spans="1:19" ht="15.6" thickTop="1" thickBot="1" x14ac:dyDescent="0.35">
      <c r="A78" s="8" t="s">
        <v>205</v>
      </c>
      <c r="B78" s="14">
        <v>46933</v>
      </c>
      <c r="C78" s="14" t="str">
        <f t="shared" si="7"/>
        <v>2028</v>
      </c>
      <c r="D78" s="14" t="str">
        <f t="shared" si="8"/>
        <v>06</v>
      </c>
      <c r="E78" s="9" t="s">
        <v>14</v>
      </c>
      <c r="F78" s="9" t="s">
        <v>15</v>
      </c>
      <c r="G78" s="9" t="s">
        <v>24</v>
      </c>
      <c r="H78" s="9" t="s">
        <v>32</v>
      </c>
      <c r="I78" s="9" t="s">
        <v>33</v>
      </c>
      <c r="J78" s="9">
        <v>4</v>
      </c>
      <c r="K78" s="9">
        <v>1499</v>
      </c>
      <c r="L78" s="9">
        <v>0.2</v>
      </c>
      <c r="M78" s="9">
        <v>3982.02</v>
      </c>
      <c r="N78" s="9" t="s">
        <v>67</v>
      </c>
      <c r="O78" s="15">
        <f t="shared" si="9"/>
        <v>5996</v>
      </c>
      <c r="P78" s="20">
        <f t="shared" si="10"/>
        <v>1199.2</v>
      </c>
      <c r="R78" s="25">
        <f t="shared" si="11"/>
        <v>23984</v>
      </c>
      <c r="S78" s="24">
        <f t="shared" si="12"/>
        <v>0</v>
      </c>
    </row>
    <row r="79" spans="1:19" ht="15.6" thickTop="1" thickBot="1" x14ac:dyDescent="0.35">
      <c r="A79" s="7" t="s">
        <v>207</v>
      </c>
      <c r="B79" s="14">
        <v>46934</v>
      </c>
      <c r="C79" s="14" t="str">
        <f t="shared" si="7"/>
        <v>2028</v>
      </c>
      <c r="D79" s="14" t="str">
        <f t="shared" si="8"/>
        <v>06</v>
      </c>
      <c r="E79" s="3" t="s">
        <v>22</v>
      </c>
      <c r="F79" s="3" t="s">
        <v>23</v>
      </c>
      <c r="G79" s="3" t="s">
        <v>38</v>
      </c>
      <c r="H79" s="3" t="s">
        <v>25</v>
      </c>
      <c r="I79" s="3" t="s">
        <v>70</v>
      </c>
      <c r="J79" s="3">
        <v>2</v>
      </c>
      <c r="K79" s="3">
        <v>1299</v>
      </c>
      <c r="L79" s="3">
        <v>0.05</v>
      </c>
      <c r="M79" s="3">
        <v>1916.43</v>
      </c>
      <c r="N79" s="3" t="s">
        <v>44</v>
      </c>
      <c r="O79" s="15">
        <f t="shared" si="9"/>
        <v>2598</v>
      </c>
      <c r="P79" s="20">
        <f t="shared" si="10"/>
        <v>129.9</v>
      </c>
      <c r="R79" s="25">
        <f t="shared" si="11"/>
        <v>5196</v>
      </c>
      <c r="S79" s="24">
        <f t="shared" si="12"/>
        <v>0</v>
      </c>
    </row>
    <row r="80" spans="1:19" ht="15.6" thickTop="1" thickBot="1" x14ac:dyDescent="0.35">
      <c r="A80" s="8" t="s">
        <v>208</v>
      </c>
      <c r="B80" s="14">
        <v>46935</v>
      </c>
      <c r="C80" s="14" t="str">
        <f t="shared" si="7"/>
        <v>2028</v>
      </c>
      <c r="D80" s="14" t="str">
        <f t="shared" si="8"/>
        <v>07</v>
      </c>
      <c r="E80" s="9" t="s">
        <v>14</v>
      </c>
      <c r="F80" s="9" t="s">
        <v>15</v>
      </c>
      <c r="G80" s="9" t="s">
        <v>31</v>
      </c>
      <c r="H80" s="9" t="s">
        <v>39</v>
      </c>
      <c r="I80" s="9" t="s">
        <v>210</v>
      </c>
      <c r="J80" s="9">
        <v>2</v>
      </c>
      <c r="K80" s="9">
        <v>1999</v>
      </c>
      <c r="L80" s="9">
        <v>0.05</v>
      </c>
      <c r="M80" s="9">
        <v>2202.11</v>
      </c>
      <c r="N80" s="9" t="s">
        <v>67</v>
      </c>
      <c r="O80" s="15">
        <f t="shared" si="9"/>
        <v>3998</v>
      </c>
      <c r="P80" s="20">
        <f t="shared" si="10"/>
        <v>199.9</v>
      </c>
      <c r="R80" s="25">
        <f t="shared" si="11"/>
        <v>7996</v>
      </c>
      <c r="S80" s="24">
        <f t="shared" si="12"/>
        <v>0</v>
      </c>
    </row>
    <row r="81" spans="1:19" ht="15.6" thickTop="1" thickBot="1" x14ac:dyDescent="0.35">
      <c r="A81" s="7" t="s">
        <v>211</v>
      </c>
      <c r="B81" s="14">
        <v>46936</v>
      </c>
      <c r="C81" s="14" t="str">
        <f t="shared" si="7"/>
        <v>2028</v>
      </c>
      <c r="D81" s="14" t="str">
        <f t="shared" si="8"/>
        <v>07</v>
      </c>
      <c r="E81" s="3" t="s">
        <v>22</v>
      </c>
      <c r="F81" s="3" t="s">
        <v>23</v>
      </c>
      <c r="G81" s="3" t="s">
        <v>38</v>
      </c>
      <c r="H81" s="3" t="s">
        <v>25</v>
      </c>
      <c r="I81" s="3" t="s">
        <v>79</v>
      </c>
      <c r="J81" s="3">
        <v>5</v>
      </c>
      <c r="K81" s="3">
        <v>899</v>
      </c>
      <c r="L81" s="3">
        <v>0.1</v>
      </c>
      <c r="M81" s="3">
        <v>3420.23</v>
      </c>
      <c r="N81" s="3" t="s">
        <v>67</v>
      </c>
      <c r="O81" s="15">
        <f t="shared" si="9"/>
        <v>4495</v>
      </c>
      <c r="P81" s="20">
        <f t="shared" si="10"/>
        <v>449.5</v>
      </c>
      <c r="R81" s="25">
        <f t="shared" si="11"/>
        <v>22475</v>
      </c>
      <c r="S81" s="24">
        <f t="shared" si="12"/>
        <v>0</v>
      </c>
    </row>
    <row r="82" spans="1:19" ht="15.6" thickTop="1" thickBot="1" x14ac:dyDescent="0.35">
      <c r="A82" s="8" t="s">
        <v>213</v>
      </c>
      <c r="B82" s="14">
        <v>46937</v>
      </c>
      <c r="C82" s="14" t="str">
        <f t="shared" si="7"/>
        <v>2028</v>
      </c>
      <c r="D82" s="14" t="str">
        <f t="shared" si="8"/>
        <v>07</v>
      </c>
      <c r="E82" s="9" t="s">
        <v>30</v>
      </c>
      <c r="F82" s="9" t="s">
        <v>23</v>
      </c>
      <c r="G82" s="9" t="s">
        <v>16</v>
      </c>
      <c r="H82" s="9" t="s">
        <v>39</v>
      </c>
      <c r="I82" s="9" t="s">
        <v>66</v>
      </c>
      <c r="J82" s="9">
        <v>2</v>
      </c>
      <c r="K82" s="9">
        <v>1199</v>
      </c>
      <c r="L82" s="9">
        <v>0.2</v>
      </c>
      <c r="M82" s="9">
        <v>1480.63</v>
      </c>
      <c r="N82" s="9" t="s">
        <v>34</v>
      </c>
      <c r="O82" s="15">
        <f t="shared" si="9"/>
        <v>2398</v>
      </c>
      <c r="P82" s="20">
        <f t="shared" si="10"/>
        <v>479.6</v>
      </c>
      <c r="R82" s="25">
        <f t="shared" si="11"/>
        <v>4796</v>
      </c>
      <c r="S82" s="24">
        <f t="shared" si="12"/>
        <v>0</v>
      </c>
    </row>
    <row r="83" spans="1:19" ht="15.6" thickTop="1" thickBot="1" x14ac:dyDescent="0.35">
      <c r="A83" s="7" t="s">
        <v>215</v>
      </c>
      <c r="B83" s="14">
        <v>46938</v>
      </c>
      <c r="C83" s="14" t="str">
        <f t="shared" si="7"/>
        <v>2028</v>
      </c>
      <c r="D83" s="14" t="str">
        <f t="shared" si="8"/>
        <v>07</v>
      </c>
      <c r="E83" s="3" t="s">
        <v>82</v>
      </c>
      <c r="F83" s="3" t="s">
        <v>15</v>
      </c>
      <c r="G83" s="3" t="s">
        <v>24</v>
      </c>
      <c r="H83" s="3" t="s">
        <v>39</v>
      </c>
      <c r="I83" s="3" t="s">
        <v>106</v>
      </c>
      <c r="J83" s="3">
        <v>5</v>
      </c>
      <c r="K83" s="3">
        <v>999</v>
      </c>
      <c r="L83" s="3">
        <v>0.15</v>
      </c>
      <c r="M83" s="3">
        <v>2933.59</v>
      </c>
      <c r="N83" s="3" t="s">
        <v>44</v>
      </c>
      <c r="O83" s="15">
        <f t="shared" si="9"/>
        <v>4995</v>
      </c>
      <c r="P83" s="20">
        <f t="shared" si="10"/>
        <v>749.25</v>
      </c>
      <c r="R83" s="25">
        <f t="shared" si="11"/>
        <v>24975</v>
      </c>
      <c r="S83" s="24">
        <f t="shared" si="12"/>
        <v>0</v>
      </c>
    </row>
    <row r="84" spans="1:19" ht="15.6" thickTop="1" thickBot="1" x14ac:dyDescent="0.35">
      <c r="A84" s="8" t="s">
        <v>217</v>
      </c>
      <c r="B84" s="14">
        <v>46939</v>
      </c>
      <c r="C84" s="14" t="str">
        <f t="shared" si="7"/>
        <v>2028</v>
      </c>
      <c r="D84" s="14" t="str">
        <f t="shared" si="8"/>
        <v>07</v>
      </c>
      <c r="E84" s="9" t="s">
        <v>37</v>
      </c>
      <c r="F84" s="9" t="s">
        <v>23</v>
      </c>
      <c r="G84" s="9" t="s">
        <v>47</v>
      </c>
      <c r="H84" s="9" t="s">
        <v>32</v>
      </c>
      <c r="I84" s="9" t="s">
        <v>97</v>
      </c>
      <c r="J84" s="9">
        <v>2</v>
      </c>
      <c r="K84" s="9">
        <v>899</v>
      </c>
      <c r="L84" s="9">
        <v>0.2</v>
      </c>
      <c r="M84" s="9">
        <v>1010.4</v>
      </c>
      <c r="N84" s="9" t="s">
        <v>67</v>
      </c>
      <c r="O84" s="15">
        <f t="shared" si="9"/>
        <v>1798</v>
      </c>
      <c r="P84" s="20">
        <f t="shared" si="10"/>
        <v>359.6</v>
      </c>
      <c r="R84" s="25">
        <f t="shared" si="11"/>
        <v>3596</v>
      </c>
      <c r="S84" s="24">
        <f t="shared" si="12"/>
        <v>0</v>
      </c>
    </row>
    <row r="85" spans="1:19" ht="15.6" thickTop="1" thickBot="1" x14ac:dyDescent="0.35">
      <c r="A85" s="7" t="s">
        <v>218</v>
      </c>
      <c r="B85" s="14">
        <v>46940</v>
      </c>
      <c r="C85" s="14" t="str">
        <f t="shared" si="7"/>
        <v>2028</v>
      </c>
      <c r="D85" s="14" t="str">
        <f t="shared" si="8"/>
        <v>07</v>
      </c>
      <c r="E85" s="3" t="s">
        <v>22</v>
      </c>
      <c r="F85" s="3" t="s">
        <v>23</v>
      </c>
      <c r="G85" s="3" t="s">
        <v>24</v>
      </c>
      <c r="H85" s="3" t="s">
        <v>25</v>
      </c>
      <c r="I85" s="3" t="s">
        <v>79</v>
      </c>
      <c r="J85" s="3">
        <v>1</v>
      </c>
      <c r="K85" s="3">
        <v>899</v>
      </c>
      <c r="L85" s="3">
        <v>0.1</v>
      </c>
      <c r="M85" s="3">
        <v>649.86</v>
      </c>
      <c r="N85" s="3" t="s">
        <v>34</v>
      </c>
      <c r="O85" s="15">
        <f t="shared" si="9"/>
        <v>899</v>
      </c>
      <c r="P85" s="20">
        <f t="shared" si="10"/>
        <v>89.9</v>
      </c>
      <c r="R85" s="25">
        <f t="shared" si="11"/>
        <v>899</v>
      </c>
      <c r="S85" s="24">
        <f t="shared" si="12"/>
        <v>0</v>
      </c>
    </row>
    <row r="86" spans="1:19" ht="15.6" thickTop="1" thickBot="1" x14ac:dyDescent="0.35">
      <c r="A86" s="8" t="s">
        <v>220</v>
      </c>
      <c r="B86" s="14">
        <v>46941</v>
      </c>
      <c r="C86" s="14" t="str">
        <f t="shared" si="7"/>
        <v>2028</v>
      </c>
      <c r="D86" s="14" t="str">
        <f t="shared" si="8"/>
        <v>07</v>
      </c>
      <c r="E86" s="9" t="s">
        <v>76</v>
      </c>
      <c r="F86" s="9" t="s">
        <v>23</v>
      </c>
      <c r="G86" s="9" t="s">
        <v>38</v>
      </c>
      <c r="H86" s="9" t="s">
        <v>39</v>
      </c>
      <c r="I86" s="9" t="s">
        <v>210</v>
      </c>
      <c r="J86" s="9">
        <v>7</v>
      </c>
      <c r="K86" s="9">
        <v>1999</v>
      </c>
      <c r="L86" s="9">
        <v>0.15</v>
      </c>
      <c r="M86" s="9">
        <v>11764.15</v>
      </c>
      <c r="N86" s="9" t="s">
        <v>67</v>
      </c>
      <c r="O86" s="15">
        <f t="shared" si="9"/>
        <v>13993</v>
      </c>
      <c r="P86" s="20">
        <f t="shared" si="10"/>
        <v>2098.9499999999998</v>
      </c>
      <c r="R86" s="25">
        <f t="shared" si="11"/>
        <v>97951</v>
      </c>
      <c r="S86" s="24">
        <f t="shared" si="12"/>
        <v>0</v>
      </c>
    </row>
    <row r="87" spans="1:19" ht="15.6" thickTop="1" thickBot="1" x14ac:dyDescent="0.35">
      <c r="A87" s="7" t="s">
        <v>222</v>
      </c>
      <c r="B87" s="14">
        <v>46942</v>
      </c>
      <c r="C87" s="14" t="str">
        <f t="shared" si="7"/>
        <v>2028</v>
      </c>
      <c r="D87" s="14" t="str">
        <f t="shared" si="8"/>
        <v>07</v>
      </c>
      <c r="E87" s="3" t="s">
        <v>37</v>
      </c>
      <c r="F87" s="3" t="s">
        <v>23</v>
      </c>
      <c r="G87" s="3" t="s">
        <v>38</v>
      </c>
      <c r="H87" s="3" t="s">
        <v>25</v>
      </c>
      <c r="I87" s="3" t="s">
        <v>79</v>
      </c>
      <c r="J87" s="3">
        <v>6</v>
      </c>
      <c r="K87" s="3">
        <v>899</v>
      </c>
      <c r="L87" s="3">
        <v>0.15</v>
      </c>
      <c r="M87" s="3">
        <v>4089.2</v>
      </c>
      <c r="N87" s="3" t="s">
        <v>44</v>
      </c>
      <c r="O87" s="15">
        <f t="shared" si="9"/>
        <v>5394</v>
      </c>
      <c r="P87" s="20">
        <f t="shared" si="10"/>
        <v>809.1</v>
      </c>
      <c r="R87" s="25">
        <f t="shared" si="11"/>
        <v>32364</v>
      </c>
      <c r="S87" s="24">
        <f t="shared" si="12"/>
        <v>0</v>
      </c>
    </row>
    <row r="88" spans="1:19" ht="15.6" thickTop="1" thickBot="1" x14ac:dyDescent="0.35">
      <c r="A88" s="8" t="s">
        <v>224</v>
      </c>
      <c r="B88" s="14">
        <v>46943</v>
      </c>
      <c r="C88" s="14" t="str">
        <f t="shared" si="7"/>
        <v>2028</v>
      </c>
      <c r="D88" s="14" t="str">
        <f t="shared" si="8"/>
        <v>07</v>
      </c>
      <c r="E88" s="9" t="s">
        <v>37</v>
      </c>
      <c r="F88" s="9" t="s">
        <v>15</v>
      </c>
      <c r="G88" s="9" t="s">
        <v>59</v>
      </c>
      <c r="H88" s="9" t="s">
        <v>25</v>
      </c>
      <c r="I88" s="9" t="s">
        <v>56</v>
      </c>
      <c r="J88" s="9">
        <v>5</v>
      </c>
      <c r="K88" s="9">
        <v>1499</v>
      </c>
      <c r="L88" s="9">
        <v>0.1</v>
      </c>
      <c r="M88" s="9">
        <v>4382.8999999999996</v>
      </c>
      <c r="N88" s="9" t="s">
        <v>67</v>
      </c>
      <c r="O88" s="15">
        <f t="shared" si="9"/>
        <v>7495</v>
      </c>
      <c r="P88" s="20">
        <f t="shared" si="10"/>
        <v>749.5</v>
      </c>
      <c r="R88" s="25">
        <f t="shared" si="11"/>
        <v>37475</v>
      </c>
      <c r="S88" s="24">
        <f t="shared" si="12"/>
        <v>0</v>
      </c>
    </row>
    <row r="89" spans="1:19" ht="15.6" thickTop="1" thickBot="1" x14ac:dyDescent="0.35">
      <c r="A89" s="7" t="s">
        <v>226</v>
      </c>
      <c r="B89" s="14">
        <v>46944</v>
      </c>
      <c r="C89" s="14" t="str">
        <f t="shared" si="7"/>
        <v>2028</v>
      </c>
      <c r="D89" s="14" t="str">
        <f t="shared" si="8"/>
        <v>07</v>
      </c>
      <c r="E89" s="3" t="s">
        <v>92</v>
      </c>
      <c r="F89" s="3" t="s">
        <v>23</v>
      </c>
      <c r="G89" s="3" t="s">
        <v>59</v>
      </c>
      <c r="H89" s="3" t="s">
        <v>25</v>
      </c>
      <c r="I89" s="3" t="s">
        <v>79</v>
      </c>
      <c r="J89" s="3">
        <v>6</v>
      </c>
      <c r="K89" s="3">
        <v>899</v>
      </c>
      <c r="L89" s="3">
        <v>0.2</v>
      </c>
      <c r="M89" s="3">
        <v>4190.78</v>
      </c>
      <c r="N89" s="3" t="s">
        <v>67</v>
      </c>
      <c r="O89" s="15">
        <f t="shared" si="9"/>
        <v>5394</v>
      </c>
      <c r="P89" s="20">
        <f t="shared" si="10"/>
        <v>1078.8</v>
      </c>
      <c r="R89" s="25">
        <f t="shared" si="11"/>
        <v>32364</v>
      </c>
      <c r="S89" s="24">
        <f t="shared" si="12"/>
        <v>0</v>
      </c>
    </row>
    <row r="90" spans="1:19" ht="15.6" thickTop="1" thickBot="1" x14ac:dyDescent="0.35">
      <c r="A90" s="8" t="s">
        <v>228</v>
      </c>
      <c r="B90" s="14">
        <v>46945</v>
      </c>
      <c r="C90" s="14" t="str">
        <f t="shared" si="7"/>
        <v>2028</v>
      </c>
      <c r="D90" s="14" t="str">
        <f t="shared" si="8"/>
        <v>07</v>
      </c>
      <c r="E90" s="9" t="s">
        <v>30</v>
      </c>
      <c r="F90" s="9" t="s">
        <v>23</v>
      </c>
      <c r="G90" s="9" t="s">
        <v>47</v>
      </c>
      <c r="H90" s="9" t="s">
        <v>39</v>
      </c>
      <c r="I90" s="9" t="s">
        <v>106</v>
      </c>
      <c r="J90" s="9">
        <v>8</v>
      </c>
      <c r="K90" s="9">
        <v>999</v>
      </c>
      <c r="L90" s="9">
        <v>0.15</v>
      </c>
      <c r="M90" s="9">
        <v>4686.7299999999996</v>
      </c>
      <c r="N90" s="9" t="s">
        <v>19</v>
      </c>
      <c r="O90" s="15">
        <f t="shared" si="9"/>
        <v>7992</v>
      </c>
      <c r="P90" s="20">
        <f t="shared" si="10"/>
        <v>1198.8</v>
      </c>
      <c r="R90" s="25">
        <f t="shared" si="11"/>
        <v>63936</v>
      </c>
      <c r="S90" s="24">
        <f t="shared" si="12"/>
        <v>0</v>
      </c>
    </row>
    <row r="91" spans="1:19" ht="15.6" thickTop="1" thickBot="1" x14ac:dyDescent="0.35">
      <c r="A91" s="7" t="s">
        <v>230</v>
      </c>
      <c r="B91" s="14">
        <v>46946</v>
      </c>
      <c r="C91" s="14" t="str">
        <f t="shared" si="7"/>
        <v>2028</v>
      </c>
      <c r="D91" s="14" t="str">
        <f t="shared" si="8"/>
        <v>07</v>
      </c>
      <c r="E91" s="3" t="s">
        <v>82</v>
      </c>
      <c r="F91" s="3" t="s">
        <v>23</v>
      </c>
      <c r="G91" s="3" t="s">
        <v>47</v>
      </c>
      <c r="H91" s="3" t="s">
        <v>25</v>
      </c>
      <c r="I91" s="3" t="s">
        <v>70</v>
      </c>
      <c r="J91" s="3">
        <v>7</v>
      </c>
      <c r="K91" s="3">
        <v>1299</v>
      </c>
      <c r="L91" s="3">
        <v>0</v>
      </c>
      <c r="M91" s="3">
        <v>5614.11</v>
      </c>
      <c r="N91" s="3" t="s">
        <v>27</v>
      </c>
      <c r="O91" s="15">
        <f t="shared" si="9"/>
        <v>9093</v>
      </c>
      <c r="P91" s="20">
        <f t="shared" si="10"/>
        <v>0</v>
      </c>
      <c r="R91" s="25">
        <f t="shared" si="11"/>
        <v>63651</v>
      </c>
      <c r="S91" s="24">
        <f t="shared" si="12"/>
        <v>0</v>
      </c>
    </row>
    <row r="92" spans="1:19" ht="15.6" thickTop="1" thickBot="1" x14ac:dyDescent="0.35">
      <c r="A92" s="8" t="s">
        <v>232</v>
      </c>
      <c r="B92" s="14">
        <v>46947</v>
      </c>
      <c r="C92" s="14" t="str">
        <f t="shared" si="7"/>
        <v>2028</v>
      </c>
      <c r="D92" s="14" t="str">
        <f t="shared" si="8"/>
        <v>07</v>
      </c>
      <c r="E92" s="9" t="s">
        <v>14</v>
      </c>
      <c r="F92" s="9" t="s">
        <v>15</v>
      </c>
      <c r="G92" s="9" t="s">
        <v>59</v>
      </c>
      <c r="H92" s="9" t="s">
        <v>17</v>
      </c>
      <c r="I92" s="9" t="s">
        <v>74</v>
      </c>
      <c r="J92" s="9">
        <v>5</v>
      </c>
      <c r="K92" s="9">
        <v>240</v>
      </c>
      <c r="L92" s="9">
        <v>0.15</v>
      </c>
      <c r="M92" s="9">
        <v>960.5</v>
      </c>
      <c r="N92" s="9" t="s">
        <v>67</v>
      </c>
      <c r="O92" s="15">
        <f t="shared" si="9"/>
        <v>1200</v>
      </c>
      <c r="P92" s="20">
        <f t="shared" si="10"/>
        <v>180</v>
      </c>
      <c r="R92" s="25">
        <f t="shared" si="11"/>
        <v>6000</v>
      </c>
      <c r="S92" s="24">
        <f t="shared" si="12"/>
        <v>0</v>
      </c>
    </row>
    <row r="93" spans="1:19" ht="15.6" thickTop="1" thickBot="1" x14ac:dyDescent="0.35">
      <c r="A93" s="7" t="s">
        <v>234</v>
      </c>
      <c r="B93" s="14">
        <v>46948</v>
      </c>
      <c r="C93" s="14" t="str">
        <f t="shared" si="7"/>
        <v>2028</v>
      </c>
      <c r="D93" s="14" t="str">
        <f t="shared" si="8"/>
        <v>07</v>
      </c>
      <c r="E93" s="3" t="s">
        <v>73</v>
      </c>
      <c r="F93" s="3" t="s">
        <v>15</v>
      </c>
      <c r="G93" s="3" t="s">
        <v>59</v>
      </c>
      <c r="H93" s="3" t="s">
        <v>39</v>
      </c>
      <c r="I93" s="3" t="s">
        <v>210</v>
      </c>
      <c r="J93" s="3">
        <v>3</v>
      </c>
      <c r="K93" s="3">
        <v>1999</v>
      </c>
      <c r="L93" s="3">
        <v>0</v>
      </c>
      <c r="M93" s="3">
        <v>3795.35</v>
      </c>
      <c r="N93" s="3" t="s">
        <v>67</v>
      </c>
      <c r="O93" s="15">
        <f t="shared" si="9"/>
        <v>5997</v>
      </c>
      <c r="P93" s="20">
        <f t="shared" si="10"/>
        <v>0</v>
      </c>
      <c r="R93" s="25">
        <f t="shared" si="11"/>
        <v>17991</v>
      </c>
      <c r="S93" s="24">
        <f t="shared" si="12"/>
        <v>0</v>
      </c>
    </row>
    <row r="94" spans="1:19" ht="15.6" thickTop="1" thickBot="1" x14ac:dyDescent="0.35">
      <c r="A94" s="8" t="s">
        <v>236</v>
      </c>
      <c r="B94" s="14">
        <v>46949</v>
      </c>
      <c r="C94" s="14" t="str">
        <f t="shared" si="7"/>
        <v>2028</v>
      </c>
      <c r="D94" s="14" t="str">
        <f t="shared" si="8"/>
        <v>07</v>
      </c>
      <c r="E94" s="9" t="s">
        <v>76</v>
      </c>
      <c r="F94" s="9" t="s">
        <v>23</v>
      </c>
      <c r="G94" s="9" t="s">
        <v>24</v>
      </c>
      <c r="H94" s="9" t="s">
        <v>17</v>
      </c>
      <c r="I94" s="9" t="s">
        <v>113</v>
      </c>
      <c r="J94" s="9">
        <v>8</v>
      </c>
      <c r="K94" s="9">
        <v>180</v>
      </c>
      <c r="L94" s="9">
        <v>0.05</v>
      </c>
      <c r="M94" s="9">
        <v>984.91</v>
      </c>
      <c r="N94" s="9" t="s">
        <v>67</v>
      </c>
      <c r="O94" s="15">
        <f t="shared" si="9"/>
        <v>1440</v>
      </c>
      <c r="P94" s="20">
        <f t="shared" si="10"/>
        <v>72</v>
      </c>
      <c r="R94" s="25">
        <f t="shared" si="11"/>
        <v>11520</v>
      </c>
      <c r="S94" s="24">
        <f t="shared" si="12"/>
        <v>0</v>
      </c>
    </row>
    <row r="95" spans="1:19" ht="15.6" thickTop="1" thickBot="1" x14ac:dyDescent="0.35">
      <c r="A95" s="7" t="s">
        <v>238</v>
      </c>
      <c r="B95" s="14">
        <v>46950</v>
      </c>
      <c r="C95" s="14" t="str">
        <f t="shared" si="7"/>
        <v>2028</v>
      </c>
      <c r="D95" s="14" t="str">
        <f t="shared" si="8"/>
        <v>07</v>
      </c>
      <c r="E95" s="3" t="s">
        <v>43</v>
      </c>
      <c r="F95" s="3" t="s">
        <v>23</v>
      </c>
      <c r="G95" s="3" t="s">
        <v>59</v>
      </c>
      <c r="H95" s="3" t="s">
        <v>17</v>
      </c>
      <c r="I95" s="3" t="s">
        <v>18</v>
      </c>
      <c r="J95" s="3">
        <v>4</v>
      </c>
      <c r="K95" s="3">
        <v>420</v>
      </c>
      <c r="L95" s="3">
        <v>0.2</v>
      </c>
      <c r="M95" s="3">
        <v>1117.02</v>
      </c>
      <c r="N95" s="3" t="s">
        <v>67</v>
      </c>
      <c r="O95" s="15">
        <f t="shared" si="9"/>
        <v>1680</v>
      </c>
      <c r="P95" s="20">
        <f t="shared" si="10"/>
        <v>336</v>
      </c>
      <c r="R95" s="25">
        <f t="shared" si="11"/>
        <v>6720</v>
      </c>
      <c r="S95" s="24">
        <f t="shared" si="12"/>
        <v>0</v>
      </c>
    </row>
    <row r="96" spans="1:19" ht="15.6" thickTop="1" thickBot="1" x14ac:dyDescent="0.35">
      <c r="A96" s="8" t="s">
        <v>240</v>
      </c>
      <c r="B96" s="14">
        <v>46951</v>
      </c>
      <c r="C96" s="14" t="str">
        <f t="shared" si="7"/>
        <v>2028</v>
      </c>
      <c r="D96" s="14" t="str">
        <f t="shared" si="8"/>
        <v>07</v>
      </c>
      <c r="E96" s="9" t="s">
        <v>43</v>
      </c>
      <c r="F96" s="9" t="s">
        <v>23</v>
      </c>
      <c r="G96" s="9" t="s">
        <v>16</v>
      </c>
      <c r="H96" s="9" t="s">
        <v>32</v>
      </c>
      <c r="I96" s="9" t="s">
        <v>97</v>
      </c>
      <c r="J96" s="9">
        <v>3</v>
      </c>
      <c r="K96" s="9">
        <v>899</v>
      </c>
      <c r="L96" s="9">
        <v>0.15</v>
      </c>
      <c r="M96" s="9">
        <v>2263.9899999999998</v>
      </c>
      <c r="N96" s="9" t="s">
        <v>34</v>
      </c>
      <c r="O96" s="15">
        <f t="shared" si="9"/>
        <v>2697</v>
      </c>
      <c r="P96" s="20">
        <f t="shared" si="10"/>
        <v>404.55</v>
      </c>
      <c r="R96" s="25">
        <f t="shared" si="11"/>
        <v>8091</v>
      </c>
      <c r="S96" s="24">
        <f t="shared" si="12"/>
        <v>0</v>
      </c>
    </row>
    <row r="97" spans="1:19" ht="15.6" thickTop="1" thickBot="1" x14ac:dyDescent="0.35">
      <c r="A97" s="7" t="s">
        <v>242</v>
      </c>
      <c r="B97" s="14">
        <v>46952</v>
      </c>
      <c r="C97" s="14" t="str">
        <f t="shared" si="7"/>
        <v>2028</v>
      </c>
      <c r="D97" s="14" t="str">
        <f t="shared" si="8"/>
        <v>07</v>
      </c>
      <c r="E97" s="3" t="s">
        <v>22</v>
      </c>
      <c r="F97" s="3" t="s">
        <v>23</v>
      </c>
      <c r="G97" s="3" t="s">
        <v>24</v>
      </c>
      <c r="H97" s="3" t="s">
        <v>32</v>
      </c>
      <c r="I97" s="3" t="s">
        <v>103</v>
      </c>
      <c r="J97" s="3">
        <v>8</v>
      </c>
      <c r="K97" s="3">
        <v>499</v>
      </c>
      <c r="L97" s="3">
        <v>0</v>
      </c>
      <c r="M97" s="3">
        <v>3060.8</v>
      </c>
      <c r="N97" s="3" t="s">
        <v>67</v>
      </c>
      <c r="O97" s="15">
        <f t="shared" si="9"/>
        <v>3992</v>
      </c>
      <c r="P97" s="20">
        <f t="shared" si="10"/>
        <v>0</v>
      </c>
      <c r="R97" s="25">
        <f t="shared" si="11"/>
        <v>31936</v>
      </c>
      <c r="S97" s="24">
        <f t="shared" si="12"/>
        <v>0</v>
      </c>
    </row>
    <row r="98" spans="1:19" ht="15.6" thickTop="1" thickBot="1" x14ac:dyDescent="0.35">
      <c r="A98" s="8" t="s">
        <v>244</v>
      </c>
      <c r="B98" s="14">
        <v>46953</v>
      </c>
      <c r="C98" s="14" t="str">
        <f t="shared" si="7"/>
        <v>2028</v>
      </c>
      <c r="D98" s="14" t="str">
        <f t="shared" si="8"/>
        <v>07</v>
      </c>
      <c r="E98" s="9" t="s">
        <v>82</v>
      </c>
      <c r="F98" s="9" t="s">
        <v>15</v>
      </c>
      <c r="G98" s="9" t="s">
        <v>59</v>
      </c>
      <c r="H98" s="9" t="s">
        <v>17</v>
      </c>
      <c r="I98" s="9" t="s">
        <v>113</v>
      </c>
      <c r="J98" s="9">
        <v>7</v>
      </c>
      <c r="K98" s="9">
        <v>180</v>
      </c>
      <c r="L98" s="9">
        <v>0</v>
      </c>
      <c r="M98" s="9">
        <v>1014.97</v>
      </c>
      <c r="N98" s="9" t="s">
        <v>19</v>
      </c>
      <c r="O98" s="15">
        <f t="shared" si="9"/>
        <v>1260</v>
      </c>
      <c r="P98" s="20">
        <f t="shared" si="10"/>
        <v>0</v>
      </c>
      <c r="R98" s="25">
        <f t="shared" si="11"/>
        <v>8820</v>
      </c>
      <c r="S98" s="24">
        <f t="shared" si="12"/>
        <v>0</v>
      </c>
    </row>
    <row r="99" spans="1:19" ht="15.6" thickTop="1" thickBot="1" x14ac:dyDescent="0.35">
      <c r="A99" s="7" t="s">
        <v>246</v>
      </c>
      <c r="B99" s="14">
        <v>46954</v>
      </c>
      <c r="C99" s="14" t="str">
        <f t="shared" si="7"/>
        <v>2028</v>
      </c>
      <c r="D99" s="14" t="str">
        <f t="shared" si="8"/>
        <v>07</v>
      </c>
      <c r="E99" s="3" t="s">
        <v>43</v>
      </c>
      <c r="F99" s="3" t="s">
        <v>23</v>
      </c>
      <c r="G99" s="3" t="s">
        <v>47</v>
      </c>
      <c r="H99" s="3" t="s">
        <v>25</v>
      </c>
      <c r="I99" s="3" t="s">
        <v>70</v>
      </c>
      <c r="J99" s="3">
        <v>2</v>
      </c>
      <c r="K99" s="3">
        <v>1299</v>
      </c>
      <c r="L99" s="3">
        <v>0.05</v>
      </c>
      <c r="M99" s="3">
        <v>1920.83</v>
      </c>
      <c r="N99" s="3" t="s">
        <v>44</v>
      </c>
      <c r="O99" s="15">
        <f t="shared" si="9"/>
        <v>2598</v>
      </c>
      <c r="P99" s="20">
        <f t="shared" si="10"/>
        <v>129.9</v>
      </c>
      <c r="R99" s="25">
        <f t="shared" si="11"/>
        <v>5196</v>
      </c>
      <c r="S99" s="24">
        <f t="shared" si="12"/>
        <v>0</v>
      </c>
    </row>
    <row r="100" spans="1:19" ht="15.6" thickTop="1" thickBot="1" x14ac:dyDescent="0.35">
      <c r="A100" s="8" t="s">
        <v>248</v>
      </c>
      <c r="B100" s="14">
        <v>46955</v>
      </c>
      <c r="C100" s="14" t="str">
        <f t="shared" si="7"/>
        <v>2028</v>
      </c>
      <c r="D100" s="14" t="str">
        <f t="shared" si="8"/>
        <v>07</v>
      </c>
      <c r="E100" s="9" t="s">
        <v>14</v>
      </c>
      <c r="F100" s="9" t="s">
        <v>23</v>
      </c>
      <c r="G100" s="9" t="s">
        <v>24</v>
      </c>
      <c r="H100" s="9" t="s">
        <v>25</v>
      </c>
      <c r="I100" s="9" t="s">
        <v>250</v>
      </c>
      <c r="J100" s="9">
        <v>3</v>
      </c>
      <c r="K100" s="9">
        <v>299</v>
      </c>
      <c r="L100" s="9">
        <v>0.1</v>
      </c>
      <c r="M100" s="9">
        <v>736.46</v>
      </c>
      <c r="N100" s="9" t="s">
        <v>27</v>
      </c>
      <c r="O100" s="15">
        <f t="shared" si="9"/>
        <v>897</v>
      </c>
      <c r="P100" s="20">
        <f t="shared" si="10"/>
        <v>89.7</v>
      </c>
      <c r="R100" s="25">
        <f t="shared" si="11"/>
        <v>2691</v>
      </c>
      <c r="S100" s="24">
        <f t="shared" si="12"/>
        <v>0</v>
      </c>
    </row>
    <row r="101" spans="1:19" ht="15.6" thickTop="1" thickBot="1" x14ac:dyDescent="0.35">
      <c r="A101" s="7" t="s">
        <v>251</v>
      </c>
      <c r="B101" s="14">
        <v>46956</v>
      </c>
      <c r="C101" s="14" t="str">
        <f t="shared" si="7"/>
        <v>2028</v>
      </c>
      <c r="D101" s="14" t="str">
        <f t="shared" si="8"/>
        <v>07</v>
      </c>
      <c r="E101" s="3" t="s">
        <v>92</v>
      </c>
      <c r="F101" s="3" t="s">
        <v>23</v>
      </c>
      <c r="G101" s="3" t="s">
        <v>38</v>
      </c>
      <c r="H101" s="3" t="s">
        <v>17</v>
      </c>
      <c r="I101" s="3" t="s">
        <v>86</v>
      </c>
      <c r="J101" s="3">
        <v>3</v>
      </c>
      <c r="K101" s="3">
        <v>55</v>
      </c>
      <c r="L101" s="3">
        <v>0.05</v>
      </c>
      <c r="M101" s="3">
        <v>117.04</v>
      </c>
      <c r="N101" s="3" t="s">
        <v>19</v>
      </c>
      <c r="O101" s="15">
        <f t="shared" si="9"/>
        <v>165</v>
      </c>
      <c r="P101" s="20">
        <f t="shared" si="10"/>
        <v>8.25</v>
      </c>
      <c r="R101" s="25">
        <f t="shared" si="11"/>
        <v>495</v>
      </c>
      <c r="S101" s="24">
        <f t="shared" si="12"/>
        <v>0</v>
      </c>
    </row>
    <row r="102" spans="1:19" ht="15.6" thickTop="1" thickBot="1" x14ac:dyDescent="0.35">
      <c r="A102" s="8" t="s">
        <v>253</v>
      </c>
      <c r="B102" s="14">
        <v>46957</v>
      </c>
      <c r="C102" s="14" t="str">
        <f t="shared" si="7"/>
        <v>2028</v>
      </c>
      <c r="D102" s="14" t="str">
        <f t="shared" si="8"/>
        <v>07</v>
      </c>
      <c r="E102" s="9" t="s">
        <v>82</v>
      </c>
      <c r="F102" s="9" t="s">
        <v>15</v>
      </c>
      <c r="G102" s="9" t="s">
        <v>31</v>
      </c>
      <c r="H102" s="9" t="s">
        <v>25</v>
      </c>
      <c r="I102" s="9" t="s">
        <v>70</v>
      </c>
      <c r="J102" s="9">
        <v>7</v>
      </c>
      <c r="K102" s="9">
        <v>1299</v>
      </c>
      <c r="L102" s="9">
        <v>0.2</v>
      </c>
      <c r="M102" s="9">
        <v>6864.67</v>
      </c>
      <c r="N102" s="9" t="s">
        <v>67</v>
      </c>
      <c r="O102" s="15">
        <f t="shared" si="9"/>
        <v>9093</v>
      </c>
      <c r="P102" s="20">
        <f t="shared" si="10"/>
        <v>1818.6000000000001</v>
      </c>
      <c r="R102" s="25">
        <f t="shared" si="11"/>
        <v>63651</v>
      </c>
      <c r="S102" s="24">
        <f t="shared" si="12"/>
        <v>0</v>
      </c>
    </row>
    <row r="103" spans="1:19" ht="15.6" thickTop="1" thickBot="1" x14ac:dyDescent="0.35">
      <c r="A103" s="7" t="s">
        <v>255</v>
      </c>
      <c r="B103" s="14">
        <v>46958</v>
      </c>
      <c r="C103" s="14" t="str">
        <f t="shared" si="7"/>
        <v>2028</v>
      </c>
      <c r="D103" s="14" t="str">
        <f t="shared" si="8"/>
        <v>07</v>
      </c>
      <c r="E103" s="3" t="s">
        <v>82</v>
      </c>
      <c r="F103" s="3" t="s">
        <v>15</v>
      </c>
      <c r="G103" s="3" t="s">
        <v>59</v>
      </c>
      <c r="H103" s="3" t="s">
        <v>17</v>
      </c>
      <c r="I103" s="3" t="s">
        <v>86</v>
      </c>
      <c r="J103" s="3">
        <v>5</v>
      </c>
      <c r="K103" s="3">
        <v>55</v>
      </c>
      <c r="L103" s="3">
        <v>0</v>
      </c>
      <c r="M103" s="3">
        <v>225.41</v>
      </c>
      <c r="N103" s="3" t="s">
        <v>67</v>
      </c>
      <c r="O103" s="15">
        <f t="shared" si="9"/>
        <v>275</v>
      </c>
      <c r="P103" s="20">
        <f t="shared" si="10"/>
        <v>0</v>
      </c>
      <c r="R103" s="25">
        <f t="shared" si="11"/>
        <v>1375</v>
      </c>
      <c r="S103" s="24">
        <f t="shared" si="12"/>
        <v>0</v>
      </c>
    </row>
    <row r="104" spans="1:19" ht="15.6" thickTop="1" thickBot="1" x14ac:dyDescent="0.35">
      <c r="A104" s="8" t="s">
        <v>257</v>
      </c>
      <c r="B104" s="14">
        <v>46959</v>
      </c>
      <c r="C104" s="14" t="str">
        <f t="shared" si="7"/>
        <v>2028</v>
      </c>
      <c r="D104" s="14" t="str">
        <f t="shared" si="8"/>
        <v>07</v>
      </c>
      <c r="E104" s="9" t="s">
        <v>76</v>
      </c>
      <c r="F104" s="9" t="s">
        <v>15</v>
      </c>
      <c r="G104" s="9" t="s">
        <v>24</v>
      </c>
      <c r="H104" s="9" t="s">
        <v>32</v>
      </c>
      <c r="I104" s="9" t="s">
        <v>51</v>
      </c>
      <c r="J104" s="9">
        <v>5</v>
      </c>
      <c r="K104" s="9">
        <v>699</v>
      </c>
      <c r="L104" s="9">
        <v>0.15</v>
      </c>
      <c r="M104" s="9">
        <v>2646.04</v>
      </c>
      <c r="N104" s="9" t="s">
        <v>67</v>
      </c>
      <c r="O104" s="15">
        <f t="shared" si="9"/>
        <v>3495</v>
      </c>
      <c r="P104" s="20">
        <f t="shared" si="10"/>
        <v>524.25</v>
      </c>
      <c r="R104" s="25">
        <f t="shared" si="11"/>
        <v>17475</v>
      </c>
      <c r="S104" s="24">
        <f t="shared" si="12"/>
        <v>0</v>
      </c>
    </row>
    <row r="105" spans="1:19" ht="15.6" thickTop="1" thickBot="1" x14ac:dyDescent="0.35">
      <c r="A105" s="7" t="s">
        <v>259</v>
      </c>
      <c r="B105" s="14">
        <v>46960</v>
      </c>
      <c r="C105" s="14" t="str">
        <f t="shared" si="7"/>
        <v>2028</v>
      </c>
      <c r="D105" s="14" t="str">
        <f t="shared" si="8"/>
        <v>07</v>
      </c>
      <c r="E105" s="3" t="s">
        <v>30</v>
      </c>
      <c r="F105" s="3" t="s">
        <v>23</v>
      </c>
      <c r="G105" s="3" t="s">
        <v>59</v>
      </c>
      <c r="H105" s="3" t="s">
        <v>25</v>
      </c>
      <c r="I105" s="3" t="s">
        <v>79</v>
      </c>
      <c r="J105" s="3">
        <v>7</v>
      </c>
      <c r="K105" s="3">
        <v>899</v>
      </c>
      <c r="L105" s="3">
        <v>0.2</v>
      </c>
      <c r="M105" s="3">
        <v>4138.83</v>
      </c>
      <c r="N105" s="3" t="s">
        <v>44</v>
      </c>
      <c r="O105" s="15">
        <f t="shared" si="9"/>
        <v>6293</v>
      </c>
      <c r="P105" s="20">
        <f t="shared" si="10"/>
        <v>1258.6000000000001</v>
      </c>
      <c r="R105" s="25">
        <f t="shared" si="11"/>
        <v>44051</v>
      </c>
      <c r="S105" s="24">
        <f t="shared" si="12"/>
        <v>0</v>
      </c>
    </row>
    <row r="106" spans="1:19" ht="15.6" thickTop="1" thickBot="1" x14ac:dyDescent="0.35">
      <c r="A106" s="8" t="s">
        <v>261</v>
      </c>
      <c r="B106" s="14">
        <v>46961</v>
      </c>
      <c r="C106" s="14" t="str">
        <f t="shared" si="7"/>
        <v>2028</v>
      </c>
      <c r="D106" s="14" t="str">
        <f t="shared" si="8"/>
        <v>07</v>
      </c>
      <c r="E106" s="9" t="s">
        <v>63</v>
      </c>
      <c r="F106" s="9" t="s">
        <v>15</v>
      </c>
      <c r="G106" s="9" t="s">
        <v>16</v>
      </c>
      <c r="H106" s="9" t="s">
        <v>32</v>
      </c>
      <c r="I106" s="9" t="s">
        <v>51</v>
      </c>
      <c r="J106" s="9">
        <v>1</v>
      </c>
      <c r="K106" s="9">
        <v>699</v>
      </c>
      <c r="L106" s="9">
        <v>0.2</v>
      </c>
      <c r="M106" s="9">
        <v>565.85</v>
      </c>
      <c r="N106" s="9" t="s">
        <v>27</v>
      </c>
      <c r="O106" s="15">
        <f t="shared" si="9"/>
        <v>699</v>
      </c>
      <c r="P106" s="20">
        <f t="shared" si="10"/>
        <v>139.80000000000001</v>
      </c>
      <c r="R106" s="25">
        <f t="shared" si="11"/>
        <v>699</v>
      </c>
      <c r="S106" s="24">
        <f t="shared" si="12"/>
        <v>0</v>
      </c>
    </row>
    <row r="107" spans="1:19" ht="15.6" thickTop="1" thickBot="1" x14ac:dyDescent="0.35">
      <c r="A107" s="7" t="s">
        <v>262</v>
      </c>
      <c r="B107" s="14">
        <v>46962</v>
      </c>
      <c r="C107" s="14" t="str">
        <f t="shared" si="7"/>
        <v>2028</v>
      </c>
      <c r="D107" s="14" t="str">
        <f t="shared" si="8"/>
        <v>07</v>
      </c>
      <c r="E107" s="3" t="s">
        <v>73</v>
      </c>
      <c r="F107" s="3" t="s">
        <v>23</v>
      </c>
      <c r="G107" s="3" t="s">
        <v>31</v>
      </c>
      <c r="H107" s="3" t="s">
        <v>17</v>
      </c>
      <c r="I107" s="3" t="s">
        <v>18</v>
      </c>
      <c r="J107" s="3">
        <v>4</v>
      </c>
      <c r="K107" s="3">
        <v>420</v>
      </c>
      <c r="L107" s="3">
        <v>0.2</v>
      </c>
      <c r="M107" s="3">
        <v>1050.32</v>
      </c>
      <c r="N107" s="3" t="s">
        <v>34</v>
      </c>
      <c r="O107" s="15">
        <f t="shared" si="9"/>
        <v>1680</v>
      </c>
      <c r="P107" s="20">
        <f t="shared" si="10"/>
        <v>336</v>
      </c>
      <c r="R107" s="25">
        <f t="shared" si="11"/>
        <v>6720</v>
      </c>
      <c r="S107" s="24">
        <f t="shared" si="12"/>
        <v>0</v>
      </c>
    </row>
    <row r="108" spans="1:19" ht="15.6" thickTop="1" thickBot="1" x14ac:dyDescent="0.35">
      <c r="A108" s="8" t="s">
        <v>264</v>
      </c>
      <c r="B108" s="14">
        <v>46963</v>
      </c>
      <c r="C108" s="14" t="str">
        <f t="shared" si="7"/>
        <v>2028</v>
      </c>
      <c r="D108" s="14" t="str">
        <f t="shared" si="8"/>
        <v>07</v>
      </c>
      <c r="E108" s="9" t="s">
        <v>14</v>
      </c>
      <c r="F108" s="9" t="s">
        <v>15</v>
      </c>
      <c r="G108" s="9" t="s">
        <v>38</v>
      </c>
      <c r="H108" s="9" t="s">
        <v>32</v>
      </c>
      <c r="I108" s="9" t="s">
        <v>103</v>
      </c>
      <c r="J108" s="9">
        <v>6</v>
      </c>
      <c r="K108" s="9">
        <v>499</v>
      </c>
      <c r="L108" s="9">
        <v>0.05</v>
      </c>
      <c r="M108" s="9">
        <v>1727.66</v>
      </c>
      <c r="N108" s="9" t="s">
        <v>44</v>
      </c>
      <c r="O108" s="15">
        <f t="shared" si="9"/>
        <v>2994</v>
      </c>
      <c r="P108" s="20">
        <f t="shared" si="10"/>
        <v>149.70000000000002</v>
      </c>
      <c r="R108" s="25">
        <f t="shared" si="11"/>
        <v>17964</v>
      </c>
      <c r="S108" s="24">
        <f t="shared" si="12"/>
        <v>0</v>
      </c>
    </row>
    <row r="109" spans="1:19" ht="15.6" thickTop="1" thickBot="1" x14ac:dyDescent="0.35">
      <c r="A109" s="7" t="s">
        <v>265</v>
      </c>
      <c r="B109" s="14">
        <v>46964</v>
      </c>
      <c r="C109" s="14" t="str">
        <f t="shared" si="7"/>
        <v>2028</v>
      </c>
      <c r="D109" s="14" t="str">
        <f t="shared" si="8"/>
        <v>07</v>
      </c>
      <c r="E109" s="3" t="s">
        <v>37</v>
      </c>
      <c r="F109" s="3" t="s">
        <v>15</v>
      </c>
      <c r="G109" s="3" t="s">
        <v>31</v>
      </c>
      <c r="H109" s="3" t="s">
        <v>39</v>
      </c>
      <c r="I109" s="3" t="s">
        <v>210</v>
      </c>
      <c r="J109" s="3">
        <v>6</v>
      </c>
      <c r="K109" s="3">
        <v>1999</v>
      </c>
      <c r="L109" s="3">
        <v>0.2</v>
      </c>
      <c r="M109" s="3">
        <v>8402.26</v>
      </c>
      <c r="N109" s="3" t="s">
        <v>44</v>
      </c>
      <c r="O109" s="15">
        <f t="shared" si="9"/>
        <v>11994</v>
      </c>
      <c r="P109" s="20">
        <f t="shared" si="10"/>
        <v>2398.8000000000002</v>
      </c>
      <c r="R109" s="25">
        <f t="shared" si="11"/>
        <v>71964</v>
      </c>
      <c r="S109" s="24">
        <f t="shared" si="12"/>
        <v>0</v>
      </c>
    </row>
    <row r="110" spans="1:19" ht="15.6" thickTop="1" thickBot="1" x14ac:dyDescent="0.35">
      <c r="A110" s="8" t="s">
        <v>266</v>
      </c>
      <c r="B110" s="14">
        <v>46965</v>
      </c>
      <c r="C110" s="14" t="str">
        <f t="shared" si="7"/>
        <v>2028</v>
      </c>
      <c r="D110" s="14" t="str">
        <f t="shared" si="8"/>
        <v>07</v>
      </c>
      <c r="E110" s="9" t="s">
        <v>63</v>
      </c>
      <c r="F110" s="9" t="s">
        <v>23</v>
      </c>
      <c r="G110" s="9" t="s">
        <v>38</v>
      </c>
      <c r="H110" s="9" t="s">
        <v>17</v>
      </c>
      <c r="I110" s="9" t="s">
        <v>89</v>
      </c>
      <c r="J110" s="9">
        <v>8</v>
      </c>
      <c r="K110" s="9">
        <v>650</v>
      </c>
      <c r="L110" s="9">
        <v>0</v>
      </c>
      <c r="M110" s="9">
        <v>3079.58</v>
      </c>
      <c r="N110" s="9" t="s">
        <v>34</v>
      </c>
      <c r="O110" s="15">
        <f t="shared" si="9"/>
        <v>5200</v>
      </c>
      <c r="P110" s="20">
        <f t="shared" si="10"/>
        <v>0</v>
      </c>
      <c r="R110" s="25">
        <f t="shared" si="11"/>
        <v>41600</v>
      </c>
      <c r="S110" s="24">
        <f t="shared" si="12"/>
        <v>0</v>
      </c>
    </row>
    <row r="111" spans="1:19" ht="15.6" thickTop="1" thickBot="1" x14ac:dyDescent="0.35">
      <c r="A111" s="7" t="s">
        <v>268</v>
      </c>
      <c r="B111" s="14">
        <v>46966</v>
      </c>
      <c r="C111" s="14" t="str">
        <f t="shared" si="7"/>
        <v>2028</v>
      </c>
      <c r="D111" s="14" t="str">
        <f t="shared" si="8"/>
        <v>08</v>
      </c>
      <c r="E111" s="3" t="s">
        <v>37</v>
      </c>
      <c r="F111" s="3" t="s">
        <v>23</v>
      </c>
      <c r="G111" s="3" t="s">
        <v>24</v>
      </c>
      <c r="H111" s="3" t="s">
        <v>32</v>
      </c>
      <c r="I111" s="3" t="s">
        <v>103</v>
      </c>
      <c r="J111" s="3">
        <v>5</v>
      </c>
      <c r="K111" s="3">
        <v>499</v>
      </c>
      <c r="L111" s="3">
        <v>0.2</v>
      </c>
      <c r="M111" s="3">
        <v>1464.76</v>
      </c>
      <c r="N111" s="3" t="s">
        <v>44</v>
      </c>
      <c r="O111" s="15">
        <f t="shared" si="9"/>
        <v>2495</v>
      </c>
      <c r="P111" s="20">
        <f t="shared" si="10"/>
        <v>499</v>
      </c>
      <c r="R111" s="25">
        <f t="shared" si="11"/>
        <v>12475</v>
      </c>
      <c r="S111" s="24">
        <f t="shared" si="12"/>
        <v>0</v>
      </c>
    </row>
    <row r="112" spans="1:19" ht="15.6" thickTop="1" thickBot="1" x14ac:dyDescent="0.35">
      <c r="A112" s="8" t="s">
        <v>270</v>
      </c>
      <c r="B112" s="14">
        <v>46967</v>
      </c>
      <c r="C112" s="14" t="str">
        <f t="shared" si="7"/>
        <v>2028</v>
      </c>
      <c r="D112" s="14" t="str">
        <f t="shared" si="8"/>
        <v>08</v>
      </c>
      <c r="E112" s="9" t="s">
        <v>63</v>
      </c>
      <c r="F112" s="9" t="s">
        <v>23</v>
      </c>
      <c r="G112" s="9" t="s">
        <v>16</v>
      </c>
      <c r="H112" s="9" t="s">
        <v>17</v>
      </c>
      <c r="I112" s="9" t="s">
        <v>89</v>
      </c>
      <c r="J112" s="9">
        <v>4</v>
      </c>
      <c r="K112" s="9">
        <v>650</v>
      </c>
      <c r="L112" s="9">
        <v>0.15</v>
      </c>
      <c r="M112" s="9">
        <v>1449.52</v>
      </c>
      <c r="N112" s="9" t="s">
        <v>19</v>
      </c>
      <c r="O112" s="15">
        <f t="shared" si="9"/>
        <v>2600</v>
      </c>
      <c r="P112" s="20">
        <f t="shared" si="10"/>
        <v>390</v>
      </c>
      <c r="R112" s="25">
        <f t="shared" si="11"/>
        <v>10400</v>
      </c>
      <c r="S112" s="24">
        <f t="shared" si="12"/>
        <v>0</v>
      </c>
    </row>
    <row r="113" spans="1:19" ht="15.6" thickTop="1" thickBot="1" x14ac:dyDescent="0.35">
      <c r="A113" s="7" t="s">
        <v>272</v>
      </c>
      <c r="B113" s="14">
        <v>46968</v>
      </c>
      <c r="C113" s="14" t="str">
        <f t="shared" si="7"/>
        <v>2028</v>
      </c>
      <c r="D113" s="14" t="str">
        <f t="shared" si="8"/>
        <v>08</v>
      </c>
      <c r="E113" s="3" t="s">
        <v>22</v>
      </c>
      <c r="F113" s="3" t="s">
        <v>15</v>
      </c>
      <c r="G113" s="3" t="s">
        <v>16</v>
      </c>
      <c r="H113" s="3" t="s">
        <v>25</v>
      </c>
      <c r="I113" s="3" t="s">
        <v>250</v>
      </c>
      <c r="J113" s="3">
        <v>5</v>
      </c>
      <c r="K113" s="3">
        <v>299</v>
      </c>
      <c r="L113" s="3">
        <v>0.15</v>
      </c>
      <c r="M113" s="3">
        <v>874.58</v>
      </c>
      <c r="N113" s="3" t="s">
        <v>27</v>
      </c>
      <c r="O113" s="15">
        <f t="shared" si="9"/>
        <v>1495</v>
      </c>
      <c r="P113" s="20">
        <f t="shared" si="10"/>
        <v>224.25</v>
      </c>
      <c r="R113" s="25">
        <f t="shared" si="11"/>
        <v>7475</v>
      </c>
      <c r="S113" s="24">
        <f t="shared" si="12"/>
        <v>0</v>
      </c>
    </row>
    <row r="114" spans="1:19" ht="15.6" thickTop="1" thickBot="1" x14ac:dyDescent="0.35">
      <c r="A114" s="8" t="s">
        <v>273</v>
      </c>
      <c r="B114" s="14">
        <v>46969</v>
      </c>
      <c r="C114" s="14" t="str">
        <f t="shared" si="7"/>
        <v>2028</v>
      </c>
      <c r="D114" s="14" t="str">
        <f t="shared" si="8"/>
        <v>08</v>
      </c>
      <c r="E114" s="9" t="s">
        <v>63</v>
      </c>
      <c r="F114" s="9" t="s">
        <v>23</v>
      </c>
      <c r="G114" s="9" t="s">
        <v>24</v>
      </c>
      <c r="H114" s="9" t="s">
        <v>25</v>
      </c>
      <c r="I114" s="9" t="s">
        <v>79</v>
      </c>
      <c r="J114" s="9">
        <v>3</v>
      </c>
      <c r="K114" s="9">
        <v>899</v>
      </c>
      <c r="L114" s="9">
        <v>0.15</v>
      </c>
      <c r="M114" s="9">
        <v>1850.39</v>
      </c>
      <c r="N114" s="9" t="s">
        <v>19</v>
      </c>
      <c r="O114" s="15">
        <f t="shared" si="9"/>
        <v>2697</v>
      </c>
      <c r="P114" s="20">
        <f t="shared" si="10"/>
        <v>404.55</v>
      </c>
      <c r="R114" s="25">
        <f t="shared" si="11"/>
        <v>8091</v>
      </c>
      <c r="S114" s="24">
        <f t="shared" si="12"/>
        <v>0</v>
      </c>
    </row>
    <row r="115" spans="1:19" ht="15.6" thickTop="1" thickBot="1" x14ac:dyDescent="0.35">
      <c r="A115" s="7" t="s">
        <v>274</v>
      </c>
      <c r="B115" s="14">
        <v>46970</v>
      </c>
      <c r="C115" s="14" t="str">
        <f t="shared" si="7"/>
        <v>2028</v>
      </c>
      <c r="D115" s="14" t="str">
        <f t="shared" si="8"/>
        <v>08</v>
      </c>
      <c r="E115" s="3" t="s">
        <v>22</v>
      </c>
      <c r="F115" s="3" t="s">
        <v>15</v>
      </c>
      <c r="G115" s="3" t="s">
        <v>59</v>
      </c>
      <c r="H115" s="3" t="s">
        <v>25</v>
      </c>
      <c r="I115" s="3" t="s">
        <v>250</v>
      </c>
      <c r="J115" s="3">
        <v>7</v>
      </c>
      <c r="K115" s="3">
        <v>299</v>
      </c>
      <c r="L115" s="3">
        <v>0.1</v>
      </c>
      <c r="M115" s="3">
        <v>1171.69</v>
      </c>
      <c r="N115" s="3" t="s">
        <v>44</v>
      </c>
      <c r="O115" s="15">
        <f t="shared" si="9"/>
        <v>2093</v>
      </c>
      <c r="P115" s="20">
        <f t="shared" si="10"/>
        <v>209.3</v>
      </c>
      <c r="R115" s="25">
        <f t="shared" si="11"/>
        <v>14651</v>
      </c>
      <c r="S115" s="24">
        <f t="shared" si="12"/>
        <v>0</v>
      </c>
    </row>
    <row r="116" spans="1:19" ht="15.6" thickTop="1" thickBot="1" x14ac:dyDescent="0.35">
      <c r="A116" s="8" t="s">
        <v>276</v>
      </c>
      <c r="B116" s="14">
        <v>46971</v>
      </c>
      <c r="C116" s="14" t="str">
        <f t="shared" si="7"/>
        <v>2028</v>
      </c>
      <c r="D116" s="14" t="str">
        <f t="shared" si="8"/>
        <v>08</v>
      </c>
      <c r="E116" s="9" t="s">
        <v>73</v>
      </c>
      <c r="F116" s="9" t="s">
        <v>23</v>
      </c>
      <c r="G116" s="9" t="s">
        <v>31</v>
      </c>
      <c r="H116" s="9" t="s">
        <v>17</v>
      </c>
      <c r="I116" s="9" t="s">
        <v>89</v>
      </c>
      <c r="J116" s="9">
        <v>6</v>
      </c>
      <c r="K116" s="9">
        <v>650</v>
      </c>
      <c r="L116" s="9">
        <v>0.2</v>
      </c>
      <c r="M116" s="9">
        <v>3199.98</v>
      </c>
      <c r="N116" s="9" t="s">
        <v>44</v>
      </c>
      <c r="O116" s="15">
        <f t="shared" si="9"/>
        <v>3900</v>
      </c>
      <c r="P116" s="20">
        <f t="shared" si="10"/>
        <v>780</v>
      </c>
      <c r="R116" s="25">
        <f t="shared" si="11"/>
        <v>23400</v>
      </c>
      <c r="S116" s="24">
        <f t="shared" si="12"/>
        <v>0</v>
      </c>
    </row>
    <row r="117" spans="1:19" ht="15.6" thickTop="1" thickBot="1" x14ac:dyDescent="0.35">
      <c r="A117" s="7" t="s">
        <v>278</v>
      </c>
      <c r="B117" s="14">
        <v>46972</v>
      </c>
      <c r="C117" s="14" t="str">
        <f t="shared" si="7"/>
        <v>2028</v>
      </c>
      <c r="D117" s="14" t="str">
        <f t="shared" si="8"/>
        <v>08</v>
      </c>
      <c r="E117" s="3" t="s">
        <v>37</v>
      </c>
      <c r="F117" s="3" t="s">
        <v>23</v>
      </c>
      <c r="G117" s="3" t="s">
        <v>31</v>
      </c>
      <c r="H117" s="3" t="s">
        <v>25</v>
      </c>
      <c r="I117" s="3" t="s">
        <v>250</v>
      </c>
      <c r="J117" s="3">
        <v>2</v>
      </c>
      <c r="K117" s="3">
        <v>299</v>
      </c>
      <c r="L117" s="3">
        <v>0.05</v>
      </c>
      <c r="M117" s="3">
        <v>444.02</v>
      </c>
      <c r="N117" s="3" t="s">
        <v>19</v>
      </c>
      <c r="O117" s="15">
        <f t="shared" si="9"/>
        <v>598</v>
      </c>
      <c r="P117" s="20">
        <f t="shared" si="10"/>
        <v>29.900000000000002</v>
      </c>
      <c r="R117" s="25">
        <f t="shared" si="11"/>
        <v>1196</v>
      </c>
      <c r="S117" s="24">
        <f t="shared" si="12"/>
        <v>0</v>
      </c>
    </row>
    <row r="118" spans="1:19" ht="15.6" thickTop="1" thickBot="1" x14ac:dyDescent="0.35">
      <c r="A118" s="8" t="s">
        <v>279</v>
      </c>
      <c r="B118" s="14">
        <v>46973</v>
      </c>
      <c r="C118" s="14" t="str">
        <f t="shared" si="7"/>
        <v>2028</v>
      </c>
      <c r="D118" s="14" t="str">
        <f t="shared" si="8"/>
        <v>08</v>
      </c>
      <c r="E118" s="9" t="s">
        <v>92</v>
      </c>
      <c r="F118" s="9" t="s">
        <v>23</v>
      </c>
      <c r="G118" s="9" t="s">
        <v>31</v>
      </c>
      <c r="H118" s="9" t="s">
        <v>39</v>
      </c>
      <c r="I118" s="9" t="s">
        <v>210</v>
      </c>
      <c r="J118" s="9">
        <v>4</v>
      </c>
      <c r="K118" s="9">
        <v>1999</v>
      </c>
      <c r="L118" s="9">
        <v>0</v>
      </c>
      <c r="M118" s="9">
        <v>6388.37</v>
      </c>
      <c r="N118" s="9" t="s">
        <v>19</v>
      </c>
      <c r="O118" s="15">
        <f t="shared" si="9"/>
        <v>7996</v>
      </c>
      <c r="P118" s="20">
        <f t="shared" si="10"/>
        <v>0</v>
      </c>
      <c r="R118" s="25">
        <f t="shared" si="11"/>
        <v>31984</v>
      </c>
      <c r="S118" s="24">
        <f t="shared" si="12"/>
        <v>0</v>
      </c>
    </row>
    <row r="119" spans="1:19" ht="15.6" thickTop="1" thickBot="1" x14ac:dyDescent="0.35">
      <c r="A119" s="7" t="s">
        <v>280</v>
      </c>
      <c r="B119" s="14">
        <v>46974</v>
      </c>
      <c r="C119" s="14" t="str">
        <f t="shared" si="7"/>
        <v>2028</v>
      </c>
      <c r="D119" s="14" t="str">
        <f t="shared" si="8"/>
        <v>08</v>
      </c>
      <c r="E119" s="3" t="s">
        <v>22</v>
      </c>
      <c r="F119" s="3" t="s">
        <v>15</v>
      </c>
      <c r="G119" s="3" t="s">
        <v>31</v>
      </c>
      <c r="H119" s="3" t="s">
        <v>17</v>
      </c>
      <c r="I119" s="3" t="s">
        <v>18</v>
      </c>
      <c r="J119" s="3">
        <v>1</v>
      </c>
      <c r="K119" s="3">
        <v>420</v>
      </c>
      <c r="L119" s="3">
        <v>0.1</v>
      </c>
      <c r="M119" s="3">
        <v>339.16</v>
      </c>
      <c r="N119" s="3" t="s">
        <v>34</v>
      </c>
      <c r="O119" s="15">
        <f t="shared" si="9"/>
        <v>420</v>
      </c>
      <c r="P119" s="20">
        <f t="shared" si="10"/>
        <v>42</v>
      </c>
      <c r="R119" s="25">
        <f t="shared" si="11"/>
        <v>420</v>
      </c>
      <c r="S119" s="24">
        <f t="shared" si="12"/>
        <v>0</v>
      </c>
    </row>
    <row r="120" spans="1:19" ht="15.6" thickTop="1" thickBot="1" x14ac:dyDescent="0.35">
      <c r="A120" s="8" t="s">
        <v>282</v>
      </c>
      <c r="B120" s="14">
        <v>46975</v>
      </c>
      <c r="C120" s="14" t="str">
        <f t="shared" si="7"/>
        <v>2028</v>
      </c>
      <c r="D120" s="14" t="str">
        <f t="shared" si="8"/>
        <v>08</v>
      </c>
      <c r="E120" s="9" t="s">
        <v>76</v>
      </c>
      <c r="F120" s="9" t="s">
        <v>23</v>
      </c>
      <c r="G120" s="9" t="s">
        <v>31</v>
      </c>
      <c r="H120" s="9" t="s">
        <v>25</v>
      </c>
      <c r="I120" s="9" t="s">
        <v>26</v>
      </c>
      <c r="J120" s="9">
        <v>3</v>
      </c>
      <c r="K120" s="9">
        <v>599</v>
      </c>
      <c r="L120" s="9">
        <v>0</v>
      </c>
      <c r="M120" s="9">
        <v>1181.48</v>
      </c>
      <c r="N120" s="9" t="s">
        <v>34</v>
      </c>
      <c r="O120" s="15">
        <f t="shared" si="9"/>
        <v>1797</v>
      </c>
      <c r="P120" s="20">
        <f t="shared" si="10"/>
        <v>0</v>
      </c>
      <c r="R120" s="25">
        <f t="shared" si="11"/>
        <v>5391</v>
      </c>
      <c r="S120" s="24">
        <f t="shared" si="12"/>
        <v>0</v>
      </c>
    </row>
    <row r="121" spans="1:19" ht="15.6" thickTop="1" thickBot="1" x14ac:dyDescent="0.35">
      <c r="A121" s="7" t="s">
        <v>283</v>
      </c>
      <c r="B121" s="14">
        <v>46976</v>
      </c>
      <c r="C121" s="14" t="str">
        <f t="shared" si="7"/>
        <v>2028</v>
      </c>
      <c r="D121" s="14" t="str">
        <f t="shared" si="8"/>
        <v>08</v>
      </c>
      <c r="E121" s="3" t="s">
        <v>43</v>
      </c>
      <c r="F121" s="3" t="s">
        <v>15</v>
      </c>
      <c r="G121" s="3" t="s">
        <v>31</v>
      </c>
      <c r="H121" s="3" t="s">
        <v>17</v>
      </c>
      <c r="I121" s="3" t="s">
        <v>89</v>
      </c>
      <c r="J121" s="3">
        <v>3</v>
      </c>
      <c r="K121" s="3">
        <v>650</v>
      </c>
      <c r="L121" s="3">
        <v>0.15</v>
      </c>
      <c r="M121" s="3">
        <v>1380.26</v>
      </c>
      <c r="N121" s="3" t="s">
        <v>27</v>
      </c>
      <c r="O121" s="15">
        <f t="shared" si="9"/>
        <v>1950</v>
      </c>
      <c r="P121" s="20">
        <f t="shared" si="10"/>
        <v>292.5</v>
      </c>
      <c r="R121" s="25">
        <f t="shared" si="11"/>
        <v>5850</v>
      </c>
      <c r="S121" s="24">
        <f t="shared" si="12"/>
        <v>0</v>
      </c>
    </row>
    <row r="122" spans="1:19" ht="15.6" thickTop="1" thickBot="1" x14ac:dyDescent="0.35">
      <c r="A122" s="8" t="s">
        <v>285</v>
      </c>
      <c r="B122" s="14">
        <v>46977</v>
      </c>
      <c r="C122" s="14" t="str">
        <f t="shared" si="7"/>
        <v>2028</v>
      </c>
      <c r="D122" s="14" t="str">
        <f t="shared" si="8"/>
        <v>08</v>
      </c>
      <c r="E122" s="9" t="s">
        <v>73</v>
      </c>
      <c r="F122" s="9" t="s">
        <v>23</v>
      </c>
      <c r="G122" s="9" t="s">
        <v>47</v>
      </c>
      <c r="H122" s="9" t="s">
        <v>25</v>
      </c>
      <c r="I122" s="9" t="s">
        <v>250</v>
      </c>
      <c r="J122" s="9">
        <v>4</v>
      </c>
      <c r="K122" s="9">
        <v>299</v>
      </c>
      <c r="L122" s="9">
        <v>0.2</v>
      </c>
      <c r="M122" s="9">
        <v>673.36</v>
      </c>
      <c r="N122" s="9" t="s">
        <v>19</v>
      </c>
      <c r="O122" s="15">
        <f t="shared" si="9"/>
        <v>1196</v>
      </c>
      <c r="P122" s="20">
        <f t="shared" si="10"/>
        <v>239.20000000000002</v>
      </c>
      <c r="R122" s="25">
        <f t="shared" si="11"/>
        <v>4784</v>
      </c>
      <c r="S122" s="24">
        <f t="shared" si="12"/>
        <v>0</v>
      </c>
    </row>
    <row r="123" spans="1:19" ht="15.6" thickTop="1" thickBot="1" x14ac:dyDescent="0.35">
      <c r="A123" s="7" t="s">
        <v>287</v>
      </c>
      <c r="B123" s="14">
        <v>46978</v>
      </c>
      <c r="C123" s="14" t="str">
        <f t="shared" si="7"/>
        <v>2028</v>
      </c>
      <c r="D123" s="14" t="str">
        <f t="shared" si="8"/>
        <v>08</v>
      </c>
      <c r="E123" s="3" t="s">
        <v>73</v>
      </c>
      <c r="F123" s="3" t="s">
        <v>15</v>
      </c>
      <c r="G123" s="3" t="s">
        <v>24</v>
      </c>
      <c r="H123" s="3" t="s">
        <v>32</v>
      </c>
      <c r="I123" s="3" t="s">
        <v>97</v>
      </c>
      <c r="J123" s="3">
        <v>7</v>
      </c>
      <c r="K123" s="3">
        <v>899</v>
      </c>
      <c r="L123" s="3">
        <v>0</v>
      </c>
      <c r="M123" s="3">
        <v>4386.7299999999996</v>
      </c>
      <c r="N123" s="3" t="s">
        <v>67</v>
      </c>
      <c r="O123" s="15">
        <f t="shared" si="9"/>
        <v>6293</v>
      </c>
      <c r="P123" s="20">
        <f t="shared" si="10"/>
        <v>0</v>
      </c>
      <c r="R123" s="25">
        <f t="shared" si="11"/>
        <v>44051</v>
      </c>
      <c r="S123" s="24">
        <f t="shared" si="12"/>
        <v>0</v>
      </c>
    </row>
    <row r="124" spans="1:19" ht="15.6" thickTop="1" thickBot="1" x14ac:dyDescent="0.35">
      <c r="A124" s="8" t="s">
        <v>288</v>
      </c>
      <c r="B124" s="14">
        <v>46979</v>
      </c>
      <c r="C124" s="14" t="str">
        <f t="shared" si="7"/>
        <v>2028</v>
      </c>
      <c r="D124" s="14" t="str">
        <f t="shared" si="8"/>
        <v>08</v>
      </c>
      <c r="E124" s="9" t="s">
        <v>14</v>
      </c>
      <c r="F124" s="9" t="s">
        <v>23</v>
      </c>
      <c r="G124" s="9" t="s">
        <v>47</v>
      </c>
      <c r="H124" s="9" t="s">
        <v>39</v>
      </c>
      <c r="I124" s="9" t="s">
        <v>48</v>
      </c>
      <c r="J124" s="9">
        <v>3</v>
      </c>
      <c r="K124" s="9">
        <v>799</v>
      </c>
      <c r="L124" s="9">
        <v>0.1</v>
      </c>
      <c r="M124" s="9">
        <v>1767.3</v>
      </c>
      <c r="N124" s="9" t="s">
        <v>19</v>
      </c>
      <c r="O124" s="15">
        <f t="shared" si="9"/>
        <v>2397</v>
      </c>
      <c r="P124" s="20">
        <f t="shared" si="10"/>
        <v>239.70000000000002</v>
      </c>
      <c r="R124" s="25">
        <f t="shared" si="11"/>
        <v>7191</v>
      </c>
      <c r="S124" s="24">
        <f t="shared" si="12"/>
        <v>0</v>
      </c>
    </row>
    <row r="125" spans="1:19" ht="15.6" thickTop="1" thickBot="1" x14ac:dyDescent="0.35">
      <c r="A125" s="7" t="s">
        <v>289</v>
      </c>
      <c r="B125" s="14">
        <v>46980</v>
      </c>
      <c r="C125" s="14" t="str">
        <f t="shared" si="7"/>
        <v>2028</v>
      </c>
      <c r="D125" s="14" t="str">
        <f t="shared" si="8"/>
        <v>08</v>
      </c>
      <c r="E125" s="3" t="s">
        <v>43</v>
      </c>
      <c r="F125" s="3" t="s">
        <v>23</v>
      </c>
      <c r="G125" s="3" t="s">
        <v>47</v>
      </c>
      <c r="H125" s="3" t="s">
        <v>17</v>
      </c>
      <c r="I125" s="3" t="s">
        <v>86</v>
      </c>
      <c r="J125" s="3">
        <v>7</v>
      </c>
      <c r="K125" s="3">
        <v>55</v>
      </c>
      <c r="L125" s="3">
        <v>0</v>
      </c>
      <c r="M125" s="3">
        <v>303.35000000000002</v>
      </c>
      <c r="N125" s="3" t="s">
        <v>27</v>
      </c>
      <c r="O125" s="15">
        <f t="shared" si="9"/>
        <v>385</v>
      </c>
      <c r="P125" s="20">
        <f t="shared" si="10"/>
        <v>0</v>
      </c>
      <c r="R125" s="25">
        <f t="shared" si="11"/>
        <v>2695</v>
      </c>
      <c r="S125" s="24">
        <f t="shared" si="12"/>
        <v>0</v>
      </c>
    </row>
    <row r="126" spans="1:19" ht="15.6" thickTop="1" thickBot="1" x14ac:dyDescent="0.35">
      <c r="A126" s="8" t="s">
        <v>291</v>
      </c>
      <c r="B126" s="14">
        <v>46981</v>
      </c>
      <c r="C126" s="14" t="str">
        <f t="shared" si="7"/>
        <v>2028</v>
      </c>
      <c r="D126" s="14" t="str">
        <f t="shared" si="8"/>
        <v>08</v>
      </c>
      <c r="E126" s="9" t="s">
        <v>76</v>
      </c>
      <c r="F126" s="9" t="s">
        <v>15</v>
      </c>
      <c r="G126" s="9" t="s">
        <v>59</v>
      </c>
      <c r="H126" s="9" t="s">
        <v>32</v>
      </c>
      <c r="I126" s="9" t="s">
        <v>60</v>
      </c>
      <c r="J126" s="9">
        <v>7</v>
      </c>
      <c r="K126" s="9">
        <v>1299</v>
      </c>
      <c r="L126" s="9">
        <v>0.1</v>
      </c>
      <c r="M126" s="9">
        <v>7258.27</v>
      </c>
      <c r="N126" s="9" t="s">
        <v>67</v>
      </c>
      <c r="O126" s="15">
        <f t="shared" si="9"/>
        <v>9093</v>
      </c>
      <c r="P126" s="20">
        <f t="shared" si="10"/>
        <v>909.30000000000007</v>
      </c>
      <c r="R126" s="25">
        <f t="shared" si="11"/>
        <v>63651</v>
      </c>
      <c r="S126" s="24">
        <f t="shared" si="12"/>
        <v>0</v>
      </c>
    </row>
    <row r="127" spans="1:19" ht="15.6" thickTop="1" thickBot="1" x14ac:dyDescent="0.35">
      <c r="A127" s="7" t="s">
        <v>292</v>
      </c>
      <c r="B127" s="14">
        <v>46982</v>
      </c>
      <c r="C127" s="14" t="str">
        <f t="shared" si="7"/>
        <v>2028</v>
      </c>
      <c r="D127" s="14" t="str">
        <f t="shared" si="8"/>
        <v>08</v>
      </c>
      <c r="E127" s="3" t="s">
        <v>14</v>
      </c>
      <c r="F127" s="3" t="s">
        <v>23</v>
      </c>
      <c r="G127" s="3" t="s">
        <v>59</v>
      </c>
      <c r="H127" s="3" t="s">
        <v>17</v>
      </c>
      <c r="I127" s="3" t="s">
        <v>113</v>
      </c>
      <c r="J127" s="3">
        <v>6</v>
      </c>
      <c r="K127" s="3">
        <v>180</v>
      </c>
      <c r="L127" s="3">
        <v>0.05</v>
      </c>
      <c r="M127" s="3">
        <v>816.53</v>
      </c>
      <c r="N127" s="3" t="s">
        <v>67</v>
      </c>
      <c r="O127" s="15">
        <f t="shared" si="9"/>
        <v>1080</v>
      </c>
      <c r="P127" s="20">
        <f t="shared" si="10"/>
        <v>54</v>
      </c>
      <c r="R127" s="25">
        <f t="shared" si="11"/>
        <v>6480</v>
      </c>
      <c r="S127" s="24">
        <f t="shared" si="12"/>
        <v>0</v>
      </c>
    </row>
    <row r="128" spans="1:19" ht="15.6" thickTop="1" thickBot="1" x14ac:dyDescent="0.35">
      <c r="A128" s="8" t="s">
        <v>294</v>
      </c>
      <c r="B128" s="14">
        <v>46983</v>
      </c>
      <c r="C128" s="14" t="str">
        <f t="shared" si="7"/>
        <v>2028</v>
      </c>
      <c r="D128" s="14" t="str">
        <f t="shared" si="8"/>
        <v>08</v>
      </c>
      <c r="E128" s="9" t="s">
        <v>14</v>
      </c>
      <c r="F128" s="9" t="s">
        <v>15</v>
      </c>
      <c r="G128" s="9" t="s">
        <v>24</v>
      </c>
      <c r="H128" s="9" t="s">
        <v>32</v>
      </c>
      <c r="I128" s="9" t="s">
        <v>103</v>
      </c>
      <c r="J128" s="9">
        <v>6</v>
      </c>
      <c r="K128" s="9">
        <v>499</v>
      </c>
      <c r="L128" s="9">
        <v>0.05</v>
      </c>
      <c r="M128" s="9">
        <v>2146.4299999999998</v>
      </c>
      <c r="N128" s="9" t="s">
        <v>19</v>
      </c>
      <c r="O128" s="15">
        <f t="shared" si="9"/>
        <v>2994</v>
      </c>
      <c r="P128" s="20">
        <f t="shared" si="10"/>
        <v>149.70000000000002</v>
      </c>
      <c r="R128" s="25">
        <f t="shared" si="11"/>
        <v>17964</v>
      </c>
      <c r="S128" s="24">
        <f t="shared" si="12"/>
        <v>0</v>
      </c>
    </row>
    <row r="129" spans="1:19" ht="15.6" thickTop="1" thickBot="1" x14ac:dyDescent="0.35">
      <c r="A129" s="7" t="s">
        <v>296</v>
      </c>
      <c r="B129" s="14">
        <v>46984</v>
      </c>
      <c r="C129" s="14" t="str">
        <f t="shared" si="7"/>
        <v>2028</v>
      </c>
      <c r="D129" s="14" t="str">
        <f t="shared" si="8"/>
        <v>08</v>
      </c>
      <c r="E129" s="3" t="s">
        <v>76</v>
      </c>
      <c r="F129" s="3" t="s">
        <v>23</v>
      </c>
      <c r="G129" s="3" t="s">
        <v>16</v>
      </c>
      <c r="H129" s="3" t="s">
        <v>25</v>
      </c>
      <c r="I129" s="3" t="s">
        <v>250</v>
      </c>
      <c r="J129" s="3">
        <v>6</v>
      </c>
      <c r="K129" s="3">
        <v>299</v>
      </c>
      <c r="L129" s="3">
        <v>0.15</v>
      </c>
      <c r="M129" s="3">
        <v>1453.91</v>
      </c>
      <c r="N129" s="3" t="s">
        <v>27</v>
      </c>
      <c r="O129" s="15">
        <f t="shared" si="9"/>
        <v>1794</v>
      </c>
      <c r="P129" s="20">
        <f t="shared" si="10"/>
        <v>269.09999999999997</v>
      </c>
      <c r="R129" s="25">
        <f t="shared" si="11"/>
        <v>10764</v>
      </c>
      <c r="S129" s="24">
        <f t="shared" si="12"/>
        <v>0</v>
      </c>
    </row>
    <row r="130" spans="1:19" ht="15.6" thickTop="1" thickBot="1" x14ac:dyDescent="0.35">
      <c r="A130" s="8" t="s">
        <v>297</v>
      </c>
      <c r="B130" s="14">
        <v>46985</v>
      </c>
      <c r="C130" s="14" t="str">
        <f t="shared" si="7"/>
        <v>2028</v>
      </c>
      <c r="D130" s="14" t="str">
        <f t="shared" si="8"/>
        <v>08</v>
      </c>
      <c r="E130" s="9" t="s">
        <v>22</v>
      </c>
      <c r="F130" s="9" t="s">
        <v>23</v>
      </c>
      <c r="G130" s="9" t="s">
        <v>38</v>
      </c>
      <c r="H130" s="9" t="s">
        <v>25</v>
      </c>
      <c r="I130" s="9" t="s">
        <v>70</v>
      </c>
      <c r="J130" s="9">
        <v>4</v>
      </c>
      <c r="K130" s="9">
        <v>1299</v>
      </c>
      <c r="L130" s="9">
        <v>0.05</v>
      </c>
      <c r="M130" s="9">
        <v>3881.52</v>
      </c>
      <c r="N130" s="9" t="s">
        <v>34</v>
      </c>
      <c r="O130" s="15">
        <f t="shared" si="9"/>
        <v>5196</v>
      </c>
      <c r="P130" s="20">
        <f t="shared" si="10"/>
        <v>259.8</v>
      </c>
      <c r="R130" s="25">
        <f t="shared" si="11"/>
        <v>20784</v>
      </c>
      <c r="S130" s="24">
        <f t="shared" si="12"/>
        <v>0</v>
      </c>
    </row>
    <row r="131" spans="1:19" ht="15.6" thickTop="1" thickBot="1" x14ac:dyDescent="0.35">
      <c r="A131" s="7" t="s">
        <v>298</v>
      </c>
      <c r="B131" s="14">
        <v>46986</v>
      </c>
      <c r="C131" s="14" t="str">
        <f t="shared" ref="C131:C194" si="13">TEXT(B131,"YYYY")</f>
        <v>2028</v>
      </c>
      <c r="D131" s="14" t="str">
        <f t="shared" ref="D131:D194" si="14">TEXT(B131,"MM")</f>
        <v>08</v>
      </c>
      <c r="E131" s="3" t="s">
        <v>43</v>
      </c>
      <c r="F131" s="3" t="s">
        <v>23</v>
      </c>
      <c r="G131" s="3" t="s">
        <v>24</v>
      </c>
      <c r="H131" s="3" t="s">
        <v>17</v>
      </c>
      <c r="I131" s="3" t="s">
        <v>74</v>
      </c>
      <c r="J131" s="3">
        <v>4</v>
      </c>
      <c r="K131" s="3">
        <v>240</v>
      </c>
      <c r="L131" s="3">
        <v>0.15</v>
      </c>
      <c r="M131" s="3">
        <v>771.4</v>
      </c>
      <c r="N131" s="3" t="s">
        <v>19</v>
      </c>
      <c r="O131" s="15">
        <f t="shared" ref="O131:O194" si="15">J131*K131</f>
        <v>960</v>
      </c>
      <c r="P131" s="20">
        <f t="shared" ref="P131:P194" si="16">O131*L131</f>
        <v>144</v>
      </c>
      <c r="R131" s="25">
        <f t="shared" ref="R131:R194" si="17">J131*(O131)</f>
        <v>3840</v>
      </c>
      <c r="S131" s="24">
        <f t="shared" ref="S131:S194" si="18">IFERROR(R131 / Q131,0)</f>
        <v>0</v>
      </c>
    </row>
    <row r="132" spans="1:19" ht="15.6" thickTop="1" thickBot="1" x14ac:dyDescent="0.35">
      <c r="A132" s="8" t="s">
        <v>299</v>
      </c>
      <c r="B132" s="14">
        <v>46987</v>
      </c>
      <c r="C132" s="14" t="str">
        <f t="shared" si="13"/>
        <v>2028</v>
      </c>
      <c r="D132" s="14" t="str">
        <f t="shared" si="14"/>
        <v>08</v>
      </c>
      <c r="E132" s="9" t="s">
        <v>76</v>
      </c>
      <c r="F132" s="9" t="s">
        <v>15</v>
      </c>
      <c r="G132" s="9" t="s">
        <v>47</v>
      </c>
      <c r="H132" s="9" t="s">
        <v>17</v>
      </c>
      <c r="I132" s="9" t="s">
        <v>89</v>
      </c>
      <c r="J132" s="9">
        <v>3</v>
      </c>
      <c r="K132" s="9">
        <v>650</v>
      </c>
      <c r="L132" s="9">
        <v>0.1</v>
      </c>
      <c r="M132" s="9">
        <v>1483.58</v>
      </c>
      <c r="N132" s="9" t="s">
        <v>44</v>
      </c>
      <c r="O132" s="15">
        <f t="shared" si="15"/>
        <v>1950</v>
      </c>
      <c r="P132" s="20">
        <f t="shared" si="16"/>
        <v>195</v>
      </c>
      <c r="R132" s="25">
        <f t="shared" si="17"/>
        <v>5850</v>
      </c>
      <c r="S132" s="24">
        <f t="shared" si="18"/>
        <v>0</v>
      </c>
    </row>
    <row r="133" spans="1:19" ht="15.6" thickTop="1" thickBot="1" x14ac:dyDescent="0.35">
      <c r="A133" s="7" t="s">
        <v>301</v>
      </c>
      <c r="B133" s="14">
        <v>46988</v>
      </c>
      <c r="C133" s="14" t="str">
        <f t="shared" si="13"/>
        <v>2028</v>
      </c>
      <c r="D133" s="14" t="str">
        <f t="shared" si="14"/>
        <v>08</v>
      </c>
      <c r="E133" s="3" t="s">
        <v>43</v>
      </c>
      <c r="F133" s="3" t="s">
        <v>15</v>
      </c>
      <c r="G133" s="3" t="s">
        <v>31</v>
      </c>
      <c r="H133" s="3" t="s">
        <v>39</v>
      </c>
      <c r="I133" s="3" t="s">
        <v>210</v>
      </c>
      <c r="J133" s="3">
        <v>7</v>
      </c>
      <c r="K133" s="3">
        <v>1999</v>
      </c>
      <c r="L133" s="3">
        <v>0</v>
      </c>
      <c r="M133" s="3">
        <v>8291.73</v>
      </c>
      <c r="N133" s="3" t="s">
        <v>27</v>
      </c>
      <c r="O133" s="15">
        <f t="shared" si="15"/>
        <v>13993</v>
      </c>
      <c r="P133" s="20">
        <f t="shared" si="16"/>
        <v>0</v>
      </c>
      <c r="R133" s="25">
        <f t="shared" si="17"/>
        <v>97951</v>
      </c>
      <c r="S133" s="24">
        <f t="shared" si="18"/>
        <v>0</v>
      </c>
    </row>
    <row r="134" spans="1:19" ht="15.6" thickTop="1" thickBot="1" x14ac:dyDescent="0.35">
      <c r="A134" s="8" t="s">
        <v>303</v>
      </c>
      <c r="B134" s="14">
        <v>46989</v>
      </c>
      <c r="C134" s="14" t="str">
        <f t="shared" si="13"/>
        <v>2028</v>
      </c>
      <c r="D134" s="14" t="str">
        <f t="shared" si="14"/>
        <v>08</v>
      </c>
      <c r="E134" s="9" t="s">
        <v>76</v>
      </c>
      <c r="F134" s="9" t="s">
        <v>15</v>
      </c>
      <c r="G134" s="9" t="s">
        <v>59</v>
      </c>
      <c r="H134" s="9" t="s">
        <v>32</v>
      </c>
      <c r="I134" s="9" t="s">
        <v>97</v>
      </c>
      <c r="J134" s="9">
        <v>6</v>
      </c>
      <c r="K134" s="9">
        <v>899</v>
      </c>
      <c r="L134" s="9">
        <v>0.05</v>
      </c>
      <c r="M134" s="9">
        <v>3565.52</v>
      </c>
      <c r="N134" s="9" t="s">
        <v>44</v>
      </c>
      <c r="O134" s="15">
        <f t="shared" si="15"/>
        <v>5394</v>
      </c>
      <c r="P134" s="20">
        <f t="shared" si="16"/>
        <v>269.7</v>
      </c>
      <c r="R134" s="25">
        <f t="shared" si="17"/>
        <v>32364</v>
      </c>
      <c r="S134" s="24">
        <f t="shared" si="18"/>
        <v>0</v>
      </c>
    </row>
    <row r="135" spans="1:19" ht="15.6" thickTop="1" thickBot="1" x14ac:dyDescent="0.35">
      <c r="A135" s="7" t="s">
        <v>305</v>
      </c>
      <c r="B135" s="14">
        <v>46990</v>
      </c>
      <c r="C135" s="14" t="str">
        <f t="shared" si="13"/>
        <v>2028</v>
      </c>
      <c r="D135" s="14" t="str">
        <f t="shared" si="14"/>
        <v>08</v>
      </c>
      <c r="E135" s="3" t="s">
        <v>22</v>
      </c>
      <c r="F135" s="3" t="s">
        <v>15</v>
      </c>
      <c r="G135" s="3" t="s">
        <v>24</v>
      </c>
      <c r="H135" s="3" t="s">
        <v>39</v>
      </c>
      <c r="I135" s="3" t="s">
        <v>40</v>
      </c>
      <c r="J135" s="3">
        <v>1</v>
      </c>
      <c r="K135" s="3">
        <v>1599</v>
      </c>
      <c r="L135" s="3">
        <v>0</v>
      </c>
      <c r="M135" s="3">
        <v>1009.98</v>
      </c>
      <c r="N135" s="3" t="s">
        <v>67</v>
      </c>
      <c r="O135" s="15">
        <f t="shared" si="15"/>
        <v>1599</v>
      </c>
      <c r="P135" s="20">
        <f t="shared" si="16"/>
        <v>0</v>
      </c>
      <c r="R135" s="25">
        <f t="shared" si="17"/>
        <v>1599</v>
      </c>
      <c r="S135" s="24">
        <f t="shared" si="18"/>
        <v>0</v>
      </c>
    </row>
    <row r="136" spans="1:19" ht="15.6" thickTop="1" thickBot="1" x14ac:dyDescent="0.35">
      <c r="A136" s="8" t="s">
        <v>307</v>
      </c>
      <c r="B136" s="14">
        <v>46991</v>
      </c>
      <c r="C136" s="14" t="str">
        <f t="shared" si="13"/>
        <v>2028</v>
      </c>
      <c r="D136" s="14" t="str">
        <f t="shared" si="14"/>
        <v>08</v>
      </c>
      <c r="E136" s="9" t="s">
        <v>22</v>
      </c>
      <c r="F136" s="9" t="s">
        <v>23</v>
      </c>
      <c r="G136" s="9" t="s">
        <v>59</v>
      </c>
      <c r="H136" s="9" t="s">
        <v>17</v>
      </c>
      <c r="I136" s="9" t="s">
        <v>18</v>
      </c>
      <c r="J136" s="9">
        <v>2</v>
      </c>
      <c r="K136" s="9">
        <v>420</v>
      </c>
      <c r="L136" s="9">
        <v>0.1</v>
      </c>
      <c r="M136" s="9">
        <v>570.34</v>
      </c>
      <c r="N136" s="9" t="s">
        <v>44</v>
      </c>
      <c r="O136" s="15">
        <f t="shared" si="15"/>
        <v>840</v>
      </c>
      <c r="P136" s="20">
        <f t="shared" si="16"/>
        <v>84</v>
      </c>
      <c r="R136" s="25">
        <f t="shared" si="17"/>
        <v>1680</v>
      </c>
      <c r="S136" s="24">
        <f t="shared" si="18"/>
        <v>0</v>
      </c>
    </row>
    <row r="137" spans="1:19" ht="15.6" thickTop="1" thickBot="1" x14ac:dyDescent="0.35">
      <c r="A137" s="7" t="s">
        <v>309</v>
      </c>
      <c r="B137" s="14">
        <v>46992</v>
      </c>
      <c r="C137" s="14" t="str">
        <f t="shared" si="13"/>
        <v>2028</v>
      </c>
      <c r="D137" s="14" t="str">
        <f t="shared" si="14"/>
        <v>08</v>
      </c>
      <c r="E137" s="3" t="s">
        <v>22</v>
      </c>
      <c r="F137" s="3" t="s">
        <v>23</v>
      </c>
      <c r="G137" s="3" t="s">
        <v>47</v>
      </c>
      <c r="H137" s="3" t="s">
        <v>17</v>
      </c>
      <c r="I137" s="3" t="s">
        <v>89</v>
      </c>
      <c r="J137" s="3">
        <v>4</v>
      </c>
      <c r="K137" s="3">
        <v>650</v>
      </c>
      <c r="L137" s="3">
        <v>0.15</v>
      </c>
      <c r="M137" s="3">
        <v>2197.87</v>
      </c>
      <c r="N137" s="3" t="s">
        <v>27</v>
      </c>
      <c r="O137" s="15">
        <f t="shared" si="15"/>
        <v>2600</v>
      </c>
      <c r="P137" s="20">
        <f t="shared" si="16"/>
        <v>390</v>
      </c>
      <c r="R137" s="25">
        <f t="shared" si="17"/>
        <v>10400</v>
      </c>
      <c r="S137" s="24">
        <f t="shared" si="18"/>
        <v>0</v>
      </c>
    </row>
    <row r="138" spans="1:19" ht="15.6" thickTop="1" thickBot="1" x14ac:dyDescent="0.35">
      <c r="A138" s="8" t="s">
        <v>311</v>
      </c>
      <c r="B138" s="14">
        <v>46993</v>
      </c>
      <c r="C138" s="14" t="str">
        <f t="shared" si="13"/>
        <v>2028</v>
      </c>
      <c r="D138" s="14" t="str">
        <f t="shared" si="14"/>
        <v>08</v>
      </c>
      <c r="E138" s="9" t="s">
        <v>30</v>
      </c>
      <c r="F138" s="9" t="s">
        <v>23</v>
      </c>
      <c r="G138" s="9" t="s">
        <v>31</v>
      </c>
      <c r="H138" s="9" t="s">
        <v>39</v>
      </c>
      <c r="I138" s="9" t="s">
        <v>106</v>
      </c>
      <c r="J138" s="9">
        <v>5</v>
      </c>
      <c r="K138" s="9">
        <v>999</v>
      </c>
      <c r="L138" s="9">
        <v>0.1</v>
      </c>
      <c r="M138" s="9">
        <v>2927.05</v>
      </c>
      <c r="N138" s="9" t="s">
        <v>67</v>
      </c>
      <c r="O138" s="15">
        <f t="shared" si="15"/>
        <v>4995</v>
      </c>
      <c r="P138" s="20">
        <f t="shared" si="16"/>
        <v>499.5</v>
      </c>
      <c r="R138" s="25">
        <f t="shared" si="17"/>
        <v>24975</v>
      </c>
      <c r="S138" s="24">
        <f t="shared" si="18"/>
        <v>0</v>
      </c>
    </row>
    <row r="139" spans="1:19" ht="15.6" thickTop="1" thickBot="1" x14ac:dyDescent="0.35">
      <c r="A139" s="7" t="s">
        <v>313</v>
      </c>
      <c r="B139" s="14">
        <v>46994</v>
      </c>
      <c r="C139" s="14" t="str">
        <f t="shared" si="13"/>
        <v>2028</v>
      </c>
      <c r="D139" s="14" t="str">
        <f t="shared" si="14"/>
        <v>08</v>
      </c>
      <c r="E139" s="3" t="s">
        <v>82</v>
      </c>
      <c r="F139" s="3" t="s">
        <v>15</v>
      </c>
      <c r="G139" s="3" t="s">
        <v>59</v>
      </c>
      <c r="H139" s="3" t="s">
        <v>39</v>
      </c>
      <c r="I139" s="3" t="s">
        <v>210</v>
      </c>
      <c r="J139" s="3">
        <v>6</v>
      </c>
      <c r="K139" s="3">
        <v>1999</v>
      </c>
      <c r="L139" s="3">
        <v>0</v>
      </c>
      <c r="M139" s="3">
        <v>8025.44</v>
      </c>
      <c r="N139" s="3" t="s">
        <v>27</v>
      </c>
      <c r="O139" s="15">
        <f t="shared" si="15"/>
        <v>11994</v>
      </c>
      <c r="P139" s="20">
        <f t="shared" si="16"/>
        <v>0</v>
      </c>
      <c r="R139" s="25">
        <f t="shared" si="17"/>
        <v>71964</v>
      </c>
      <c r="S139" s="24">
        <f t="shared" si="18"/>
        <v>0</v>
      </c>
    </row>
    <row r="140" spans="1:19" ht="15.6" thickTop="1" thickBot="1" x14ac:dyDescent="0.35">
      <c r="A140" s="8" t="s">
        <v>315</v>
      </c>
      <c r="B140" s="14">
        <v>46995</v>
      </c>
      <c r="C140" s="14" t="str">
        <f t="shared" si="13"/>
        <v>2028</v>
      </c>
      <c r="D140" s="14" t="str">
        <f t="shared" si="14"/>
        <v>08</v>
      </c>
      <c r="E140" s="9" t="s">
        <v>92</v>
      </c>
      <c r="F140" s="9" t="s">
        <v>23</v>
      </c>
      <c r="G140" s="9" t="s">
        <v>24</v>
      </c>
      <c r="H140" s="9" t="s">
        <v>17</v>
      </c>
      <c r="I140" s="9" t="s">
        <v>74</v>
      </c>
      <c r="J140" s="9">
        <v>7</v>
      </c>
      <c r="K140" s="9">
        <v>240</v>
      </c>
      <c r="L140" s="9">
        <v>0.2</v>
      </c>
      <c r="M140" s="9">
        <v>1127.83</v>
      </c>
      <c r="N140" s="9" t="s">
        <v>67</v>
      </c>
      <c r="O140" s="15">
        <f t="shared" si="15"/>
        <v>1680</v>
      </c>
      <c r="P140" s="20">
        <f t="shared" si="16"/>
        <v>336</v>
      </c>
      <c r="R140" s="25">
        <f t="shared" si="17"/>
        <v>11760</v>
      </c>
      <c r="S140" s="24">
        <f t="shared" si="18"/>
        <v>0</v>
      </c>
    </row>
    <row r="141" spans="1:19" ht="15.6" thickTop="1" thickBot="1" x14ac:dyDescent="0.35">
      <c r="A141" s="7" t="s">
        <v>317</v>
      </c>
      <c r="B141" s="14">
        <v>46996</v>
      </c>
      <c r="C141" s="14" t="str">
        <f t="shared" si="13"/>
        <v>2028</v>
      </c>
      <c r="D141" s="14" t="str">
        <f t="shared" si="14"/>
        <v>08</v>
      </c>
      <c r="E141" s="3" t="s">
        <v>14</v>
      </c>
      <c r="F141" s="3" t="s">
        <v>23</v>
      </c>
      <c r="G141" s="3" t="s">
        <v>24</v>
      </c>
      <c r="H141" s="3" t="s">
        <v>17</v>
      </c>
      <c r="I141" s="3" t="s">
        <v>18</v>
      </c>
      <c r="J141" s="3">
        <v>8</v>
      </c>
      <c r="K141" s="3">
        <v>420</v>
      </c>
      <c r="L141" s="3">
        <v>0.1</v>
      </c>
      <c r="M141" s="3">
        <v>1936.83</v>
      </c>
      <c r="N141" s="3" t="s">
        <v>27</v>
      </c>
      <c r="O141" s="15">
        <f t="shared" si="15"/>
        <v>3360</v>
      </c>
      <c r="P141" s="20">
        <f t="shared" si="16"/>
        <v>336</v>
      </c>
      <c r="R141" s="25">
        <f t="shared" si="17"/>
        <v>26880</v>
      </c>
      <c r="S141" s="24">
        <f t="shared" si="18"/>
        <v>0</v>
      </c>
    </row>
    <row r="142" spans="1:19" ht="15.6" thickTop="1" thickBot="1" x14ac:dyDescent="0.35">
      <c r="A142" s="8" t="s">
        <v>319</v>
      </c>
      <c r="B142" s="14">
        <v>46997</v>
      </c>
      <c r="C142" s="14" t="str">
        <f t="shared" si="13"/>
        <v>2028</v>
      </c>
      <c r="D142" s="14" t="str">
        <f t="shared" si="14"/>
        <v>09</v>
      </c>
      <c r="E142" s="9" t="s">
        <v>37</v>
      </c>
      <c r="F142" s="9" t="s">
        <v>23</v>
      </c>
      <c r="G142" s="9" t="s">
        <v>47</v>
      </c>
      <c r="H142" s="9" t="s">
        <v>25</v>
      </c>
      <c r="I142" s="9" t="s">
        <v>250</v>
      </c>
      <c r="J142" s="9">
        <v>5</v>
      </c>
      <c r="K142" s="9">
        <v>299</v>
      </c>
      <c r="L142" s="9">
        <v>0.1</v>
      </c>
      <c r="M142" s="9">
        <v>921.63</v>
      </c>
      <c r="N142" s="9" t="s">
        <v>34</v>
      </c>
      <c r="O142" s="15">
        <f t="shared" si="15"/>
        <v>1495</v>
      </c>
      <c r="P142" s="20">
        <f t="shared" si="16"/>
        <v>149.5</v>
      </c>
      <c r="R142" s="25">
        <f t="shared" si="17"/>
        <v>7475</v>
      </c>
      <c r="S142" s="24">
        <f t="shared" si="18"/>
        <v>0</v>
      </c>
    </row>
    <row r="143" spans="1:19" ht="15.6" thickTop="1" thickBot="1" x14ac:dyDescent="0.35">
      <c r="A143" s="7" t="s">
        <v>320</v>
      </c>
      <c r="B143" s="14">
        <v>46998</v>
      </c>
      <c r="C143" s="14" t="str">
        <f t="shared" si="13"/>
        <v>2028</v>
      </c>
      <c r="D143" s="14" t="str">
        <f t="shared" si="14"/>
        <v>09</v>
      </c>
      <c r="E143" s="3" t="s">
        <v>76</v>
      </c>
      <c r="F143" s="3" t="s">
        <v>15</v>
      </c>
      <c r="G143" s="3" t="s">
        <v>47</v>
      </c>
      <c r="H143" s="3" t="s">
        <v>39</v>
      </c>
      <c r="I143" s="3" t="s">
        <v>106</v>
      </c>
      <c r="J143" s="3">
        <v>6</v>
      </c>
      <c r="K143" s="3">
        <v>999</v>
      </c>
      <c r="L143" s="3">
        <v>0.05</v>
      </c>
      <c r="M143" s="3">
        <v>3721.56</v>
      </c>
      <c r="N143" s="3" t="s">
        <v>34</v>
      </c>
      <c r="O143" s="15">
        <f t="shared" si="15"/>
        <v>5994</v>
      </c>
      <c r="P143" s="20">
        <f t="shared" si="16"/>
        <v>299.7</v>
      </c>
      <c r="R143" s="25">
        <f t="shared" si="17"/>
        <v>35964</v>
      </c>
      <c r="S143" s="24">
        <f t="shared" si="18"/>
        <v>0</v>
      </c>
    </row>
    <row r="144" spans="1:19" ht="15.6" thickTop="1" thickBot="1" x14ac:dyDescent="0.35">
      <c r="A144" s="8" t="s">
        <v>322</v>
      </c>
      <c r="B144" s="14">
        <v>46999</v>
      </c>
      <c r="C144" s="14" t="str">
        <f t="shared" si="13"/>
        <v>2028</v>
      </c>
      <c r="D144" s="14" t="str">
        <f t="shared" si="14"/>
        <v>09</v>
      </c>
      <c r="E144" s="9" t="s">
        <v>30</v>
      </c>
      <c r="F144" s="9" t="s">
        <v>15</v>
      </c>
      <c r="G144" s="9" t="s">
        <v>47</v>
      </c>
      <c r="H144" s="9" t="s">
        <v>324</v>
      </c>
      <c r="I144" s="9" t="s">
        <v>48</v>
      </c>
      <c r="J144" s="9">
        <v>3</v>
      </c>
      <c r="K144" s="9">
        <v>799</v>
      </c>
      <c r="L144" s="9">
        <v>0.15</v>
      </c>
      <c r="M144" s="9">
        <v>1651.98</v>
      </c>
      <c r="N144" s="9" t="s">
        <v>19</v>
      </c>
      <c r="O144" s="15">
        <f t="shared" si="15"/>
        <v>2397</v>
      </c>
      <c r="P144" s="20">
        <f t="shared" si="16"/>
        <v>359.55</v>
      </c>
      <c r="R144" s="25">
        <f t="shared" si="17"/>
        <v>7191</v>
      </c>
      <c r="S144" s="24">
        <f t="shared" si="18"/>
        <v>0</v>
      </c>
    </row>
    <row r="145" spans="1:19" ht="15.6" thickTop="1" thickBot="1" x14ac:dyDescent="0.35">
      <c r="A145" s="7" t="s">
        <v>325</v>
      </c>
      <c r="B145" s="14">
        <v>47000</v>
      </c>
      <c r="C145" s="14" t="str">
        <f t="shared" si="13"/>
        <v>2028</v>
      </c>
      <c r="D145" s="14" t="str">
        <f t="shared" si="14"/>
        <v>09</v>
      </c>
      <c r="E145" s="3" t="s">
        <v>73</v>
      </c>
      <c r="F145" s="3" t="s">
        <v>23</v>
      </c>
      <c r="G145" s="3" t="s">
        <v>16</v>
      </c>
      <c r="H145" s="3" t="s">
        <v>17</v>
      </c>
      <c r="I145" s="3" t="s">
        <v>18</v>
      </c>
      <c r="J145" s="3">
        <v>8</v>
      </c>
      <c r="K145" s="3">
        <v>420</v>
      </c>
      <c r="L145" s="3">
        <v>0</v>
      </c>
      <c r="M145" s="3">
        <v>2320.67</v>
      </c>
      <c r="N145" s="3" t="s">
        <v>44</v>
      </c>
      <c r="O145" s="15">
        <f t="shared" si="15"/>
        <v>3360</v>
      </c>
      <c r="P145" s="20">
        <f t="shared" si="16"/>
        <v>0</v>
      </c>
      <c r="R145" s="25">
        <f t="shared" si="17"/>
        <v>26880</v>
      </c>
      <c r="S145" s="24">
        <f t="shared" si="18"/>
        <v>0</v>
      </c>
    </row>
    <row r="146" spans="1:19" ht="15.6" thickTop="1" thickBot="1" x14ac:dyDescent="0.35">
      <c r="A146" s="8" t="s">
        <v>327</v>
      </c>
      <c r="B146" s="14">
        <v>47001</v>
      </c>
      <c r="C146" s="14" t="str">
        <f t="shared" si="13"/>
        <v>2028</v>
      </c>
      <c r="D146" s="14" t="str">
        <f t="shared" si="14"/>
        <v>09</v>
      </c>
      <c r="E146" s="9" t="s">
        <v>22</v>
      </c>
      <c r="F146" s="9" t="s">
        <v>15</v>
      </c>
      <c r="G146" s="9" t="s">
        <v>38</v>
      </c>
      <c r="H146" s="9" t="s">
        <v>25</v>
      </c>
      <c r="I146" s="9" t="s">
        <v>56</v>
      </c>
      <c r="J146" s="9">
        <v>8</v>
      </c>
      <c r="K146" s="9">
        <v>1499</v>
      </c>
      <c r="L146" s="9">
        <v>0.15</v>
      </c>
      <c r="M146" s="9">
        <v>6730.9</v>
      </c>
      <c r="N146" s="9" t="s">
        <v>44</v>
      </c>
      <c r="O146" s="15">
        <f t="shared" si="15"/>
        <v>11992</v>
      </c>
      <c r="P146" s="20">
        <f t="shared" si="16"/>
        <v>1798.8</v>
      </c>
      <c r="R146" s="25">
        <f t="shared" si="17"/>
        <v>95936</v>
      </c>
      <c r="S146" s="24">
        <f t="shared" si="18"/>
        <v>0</v>
      </c>
    </row>
    <row r="147" spans="1:19" ht="15.6" thickTop="1" thickBot="1" x14ac:dyDescent="0.35">
      <c r="A147" s="7" t="s">
        <v>329</v>
      </c>
      <c r="B147" s="14">
        <v>47002</v>
      </c>
      <c r="C147" s="14" t="str">
        <f t="shared" si="13"/>
        <v>2028</v>
      </c>
      <c r="D147" s="14" t="str">
        <f t="shared" si="14"/>
        <v>09</v>
      </c>
      <c r="E147" s="3" t="s">
        <v>14</v>
      </c>
      <c r="F147" s="3" t="s">
        <v>15</v>
      </c>
      <c r="G147" s="3" t="s">
        <v>47</v>
      </c>
      <c r="H147" s="3" t="s">
        <v>32</v>
      </c>
      <c r="I147" s="3" t="s">
        <v>97</v>
      </c>
      <c r="J147" s="3">
        <v>1</v>
      </c>
      <c r="K147" s="3">
        <v>899</v>
      </c>
      <c r="L147" s="3">
        <v>0.15</v>
      </c>
      <c r="M147" s="3">
        <v>739.62</v>
      </c>
      <c r="N147" s="3" t="s">
        <v>19</v>
      </c>
      <c r="O147" s="15">
        <f t="shared" si="15"/>
        <v>899</v>
      </c>
      <c r="P147" s="20">
        <f t="shared" si="16"/>
        <v>134.85</v>
      </c>
      <c r="R147" s="25">
        <f t="shared" si="17"/>
        <v>899</v>
      </c>
      <c r="S147" s="24">
        <f t="shared" si="18"/>
        <v>0</v>
      </c>
    </row>
    <row r="148" spans="1:19" ht="15.6" thickTop="1" thickBot="1" x14ac:dyDescent="0.35">
      <c r="A148" s="8" t="s">
        <v>330</v>
      </c>
      <c r="B148" s="14">
        <v>47003</v>
      </c>
      <c r="C148" s="14" t="str">
        <f t="shared" si="13"/>
        <v>2028</v>
      </c>
      <c r="D148" s="14" t="str">
        <f t="shared" si="14"/>
        <v>09</v>
      </c>
      <c r="E148" s="9" t="s">
        <v>30</v>
      </c>
      <c r="F148" s="9" t="s">
        <v>23</v>
      </c>
      <c r="G148" s="9" t="s">
        <v>47</v>
      </c>
      <c r="H148" s="9" t="s">
        <v>32</v>
      </c>
      <c r="I148" s="9" t="s">
        <v>33</v>
      </c>
      <c r="J148" s="9">
        <v>3</v>
      </c>
      <c r="K148" s="9">
        <v>1499</v>
      </c>
      <c r="L148" s="9">
        <v>0</v>
      </c>
      <c r="M148" s="9">
        <v>3081.15</v>
      </c>
      <c r="N148" s="9" t="s">
        <v>44</v>
      </c>
      <c r="O148" s="15">
        <f t="shared" si="15"/>
        <v>4497</v>
      </c>
      <c r="P148" s="20">
        <f t="shared" si="16"/>
        <v>0</v>
      </c>
      <c r="R148" s="25">
        <f t="shared" si="17"/>
        <v>13491</v>
      </c>
      <c r="S148" s="24">
        <f t="shared" si="18"/>
        <v>0</v>
      </c>
    </row>
    <row r="149" spans="1:19" ht="15.6" thickTop="1" thickBot="1" x14ac:dyDescent="0.35">
      <c r="A149" s="7" t="s">
        <v>331</v>
      </c>
      <c r="B149" s="14">
        <v>47004</v>
      </c>
      <c r="C149" s="14" t="str">
        <f t="shared" si="13"/>
        <v>2028</v>
      </c>
      <c r="D149" s="14" t="str">
        <f t="shared" si="14"/>
        <v>09</v>
      </c>
      <c r="E149" s="3" t="s">
        <v>76</v>
      </c>
      <c r="F149" s="3" t="s">
        <v>15</v>
      </c>
      <c r="G149" s="3" t="s">
        <v>24</v>
      </c>
      <c r="H149" s="3" t="s">
        <v>39</v>
      </c>
      <c r="I149" s="3" t="s">
        <v>66</v>
      </c>
      <c r="J149" s="3">
        <v>8</v>
      </c>
      <c r="K149" s="3">
        <v>1199</v>
      </c>
      <c r="L149" s="3">
        <v>0.2</v>
      </c>
      <c r="M149" s="3">
        <v>6779.86</v>
      </c>
      <c r="N149" s="3" t="s">
        <v>34</v>
      </c>
      <c r="O149" s="15">
        <f t="shared" si="15"/>
        <v>9592</v>
      </c>
      <c r="P149" s="20">
        <f t="shared" si="16"/>
        <v>1918.4</v>
      </c>
      <c r="R149" s="25">
        <f t="shared" si="17"/>
        <v>76736</v>
      </c>
      <c r="S149" s="24">
        <f t="shared" si="18"/>
        <v>0</v>
      </c>
    </row>
    <row r="150" spans="1:19" ht="15.6" thickTop="1" thickBot="1" x14ac:dyDescent="0.35">
      <c r="A150" s="8" t="s">
        <v>332</v>
      </c>
      <c r="B150" s="14">
        <v>47005</v>
      </c>
      <c r="C150" s="14" t="str">
        <f t="shared" si="13"/>
        <v>2028</v>
      </c>
      <c r="D150" s="14" t="str">
        <f t="shared" si="14"/>
        <v>09</v>
      </c>
      <c r="E150" s="9" t="s">
        <v>43</v>
      </c>
      <c r="F150" s="9" t="s">
        <v>23</v>
      </c>
      <c r="G150" s="9" t="s">
        <v>59</v>
      </c>
      <c r="H150" s="9" t="s">
        <v>32</v>
      </c>
      <c r="I150" s="9" t="s">
        <v>51</v>
      </c>
      <c r="J150" s="9">
        <v>1</v>
      </c>
      <c r="K150" s="9">
        <v>699</v>
      </c>
      <c r="L150" s="9">
        <v>0.1</v>
      </c>
      <c r="M150" s="9">
        <v>398.27</v>
      </c>
      <c r="N150" s="9" t="s">
        <v>27</v>
      </c>
      <c r="O150" s="15">
        <f t="shared" si="15"/>
        <v>699</v>
      </c>
      <c r="P150" s="20">
        <f t="shared" si="16"/>
        <v>69.900000000000006</v>
      </c>
      <c r="R150" s="25">
        <f t="shared" si="17"/>
        <v>699</v>
      </c>
      <c r="S150" s="24">
        <f t="shared" si="18"/>
        <v>0</v>
      </c>
    </row>
    <row r="151" spans="1:19" ht="15.6" thickTop="1" thickBot="1" x14ac:dyDescent="0.35">
      <c r="A151" s="7" t="s">
        <v>334</v>
      </c>
      <c r="B151" s="14">
        <v>47006</v>
      </c>
      <c r="C151" s="14" t="str">
        <f t="shared" si="13"/>
        <v>2028</v>
      </c>
      <c r="D151" s="14" t="str">
        <f t="shared" si="14"/>
        <v>09</v>
      </c>
      <c r="E151" s="3" t="s">
        <v>37</v>
      </c>
      <c r="F151" s="3" t="s">
        <v>23</v>
      </c>
      <c r="G151" s="3" t="s">
        <v>38</v>
      </c>
      <c r="H151" s="3" t="s">
        <v>39</v>
      </c>
      <c r="I151" s="3" t="s">
        <v>106</v>
      </c>
      <c r="J151" s="3">
        <v>2</v>
      </c>
      <c r="K151" s="3">
        <v>999</v>
      </c>
      <c r="L151" s="3">
        <v>0.2</v>
      </c>
      <c r="M151" s="3">
        <v>1496.67</v>
      </c>
      <c r="N151" s="3" t="s">
        <v>44</v>
      </c>
      <c r="O151" s="15">
        <f t="shared" si="15"/>
        <v>1998</v>
      </c>
      <c r="P151" s="20">
        <f t="shared" si="16"/>
        <v>399.6</v>
      </c>
      <c r="R151" s="25">
        <f t="shared" si="17"/>
        <v>3996</v>
      </c>
      <c r="S151" s="24">
        <f t="shared" si="18"/>
        <v>0</v>
      </c>
    </row>
    <row r="152" spans="1:19" ht="15.6" thickTop="1" thickBot="1" x14ac:dyDescent="0.35">
      <c r="A152" s="8" t="s">
        <v>336</v>
      </c>
      <c r="B152" s="14">
        <v>47007</v>
      </c>
      <c r="C152" s="14" t="str">
        <f t="shared" si="13"/>
        <v>2028</v>
      </c>
      <c r="D152" s="14" t="str">
        <f t="shared" si="14"/>
        <v>09</v>
      </c>
      <c r="E152" s="9" t="s">
        <v>37</v>
      </c>
      <c r="F152" s="9" t="s">
        <v>15</v>
      </c>
      <c r="G152" s="9" t="s">
        <v>47</v>
      </c>
      <c r="H152" s="9" t="s">
        <v>25</v>
      </c>
      <c r="I152" s="9" t="s">
        <v>56</v>
      </c>
      <c r="J152" s="9">
        <v>7</v>
      </c>
      <c r="K152" s="9">
        <v>1499</v>
      </c>
      <c r="L152" s="9">
        <v>0.1</v>
      </c>
      <c r="M152" s="9">
        <v>8330.9699999999993</v>
      </c>
      <c r="N152" s="9" t="s">
        <v>19</v>
      </c>
      <c r="O152" s="15">
        <f t="shared" si="15"/>
        <v>10493</v>
      </c>
      <c r="P152" s="20">
        <f t="shared" si="16"/>
        <v>1049.3</v>
      </c>
      <c r="R152" s="25">
        <f t="shared" si="17"/>
        <v>73451</v>
      </c>
      <c r="S152" s="24">
        <f t="shared" si="18"/>
        <v>0</v>
      </c>
    </row>
    <row r="153" spans="1:19" ht="15.6" thickTop="1" thickBot="1" x14ac:dyDescent="0.35">
      <c r="A153" s="7" t="s">
        <v>338</v>
      </c>
      <c r="B153" s="14">
        <v>47008</v>
      </c>
      <c r="C153" s="14" t="str">
        <f t="shared" si="13"/>
        <v>2028</v>
      </c>
      <c r="D153" s="14" t="str">
        <f t="shared" si="14"/>
        <v>09</v>
      </c>
      <c r="E153" s="3" t="s">
        <v>37</v>
      </c>
      <c r="F153" s="3" t="s">
        <v>23</v>
      </c>
      <c r="G153" s="3" t="s">
        <v>24</v>
      </c>
      <c r="H153" s="3" t="s">
        <v>17</v>
      </c>
      <c r="I153" s="3" t="s">
        <v>113</v>
      </c>
      <c r="J153" s="3">
        <v>3</v>
      </c>
      <c r="K153" s="3">
        <v>180</v>
      </c>
      <c r="L153" s="3">
        <v>0.05</v>
      </c>
      <c r="M153" s="3">
        <v>352.36</v>
      </c>
      <c r="N153" s="3" t="s">
        <v>67</v>
      </c>
      <c r="O153" s="15">
        <f t="shared" si="15"/>
        <v>540</v>
      </c>
      <c r="P153" s="20">
        <f t="shared" si="16"/>
        <v>27</v>
      </c>
      <c r="R153" s="25">
        <f t="shared" si="17"/>
        <v>1620</v>
      </c>
      <c r="S153" s="24">
        <f t="shared" si="18"/>
        <v>0</v>
      </c>
    </row>
    <row r="154" spans="1:19" ht="15.6" thickTop="1" thickBot="1" x14ac:dyDescent="0.35">
      <c r="A154" s="8" t="s">
        <v>340</v>
      </c>
      <c r="B154" s="14">
        <v>47009</v>
      </c>
      <c r="C154" s="14" t="str">
        <f t="shared" si="13"/>
        <v>2028</v>
      </c>
      <c r="D154" s="14" t="str">
        <f t="shared" si="14"/>
        <v>09</v>
      </c>
      <c r="E154" s="9" t="s">
        <v>30</v>
      </c>
      <c r="F154" s="9" t="s">
        <v>15</v>
      </c>
      <c r="G154" s="9" t="s">
        <v>31</v>
      </c>
      <c r="H154" s="9" t="s">
        <v>25</v>
      </c>
      <c r="I154" s="9" t="s">
        <v>56</v>
      </c>
      <c r="J154" s="9">
        <v>2</v>
      </c>
      <c r="K154" s="9">
        <v>1499</v>
      </c>
      <c r="L154" s="9">
        <v>0.2</v>
      </c>
      <c r="M154" s="9">
        <v>2342.2199999999998</v>
      </c>
      <c r="N154" s="9" t="s">
        <v>19</v>
      </c>
      <c r="O154" s="15">
        <f t="shared" si="15"/>
        <v>2998</v>
      </c>
      <c r="P154" s="20">
        <f t="shared" si="16"/>
        <v>599.6</v>
      </c>
      <c r="R154" s="25">
        <f t="shared" si="17"/>
        <v>5996</v>
      </c>
      <c r="S154" s="24">
        <f t="shared" si="18"/>
        <v>0</v>
      </c>
    </row>
    <row r="155" spans="1:19" ht="15.6" thickTop="1" thickBot="1" x14ac:dyDescent="0.35">
      <c r="A155" s="7" t="s">
        <v>342</v>
      </c>
      <c r="B155" s="14">
        <v>47010</v>
      </c>
      <c r="C155" s="14" t="str">
        <f t="shared" si="13"/>
        <v>2028</v>
      </c>
      <c r="D155" s="14" t="str">
        <f t="shared" si="14"/>
        <v>09</v>
      </c>
      <c r="E155" s="3" t="s">
        <v>43</v>
      </c>
      <c r="F155" s="3" t="s">
        <v>15</v>
      </c>
      <c r="G155" s="3" t="s">
        <v>47</v>
      </c>
      <c r="H155" s="3" t="s">
        <v>32</v>
      </c>
      <c r="I155" s="3" t="s">
        <v>60</v>
      </c>
      <c r="J155" s="3">
        <v>3</v>
      </c>
      <c r="K155" s="3">
        <v>1299</v>
      </c>
      <c r="L155" s="3">
        <v>0.05</v>
      </c>
      <c r="M155" s="3">
        <v>3115.28</v>
      </c>
      <c r="N155" s="3" t="s">
        <v>19</v>
      </c>
      <c r="O155" s="15">
        <f t="shared" si="15"/>
        <v>3897</v>
      </c>
      <c r="P155" s="20">
        <f t="shared" si="16"/>
        <v>194.85000000000002</v>
      </c>
      <c r="R155" s="25">
        <f t="shared" si="17"/>
        <v>11691</v>
      </c>
      <c r="S155" s="24">
        <f t="shared" si="18"/>
        <v>0</v>
      </c>
    </row>
    <row r="156" spans="1:19" ht="15.6" thickTop="1" thickBot="1" x14ac:dyDescent="0.35">
      <c r="A156" s="8" t="s">
        <v>343</v>
      </c>
      <c r="B156" s="14">
        <v>47011</v>
      </c>
      <c r="C156" s="14" t="str">
        <f t="shared" si="13"/>
        <v>2028</v>
      </c>
      <c r="D156" s="14" t="str">
        <f t="shared" si="14"/>
        <v>09</v>
      </c>
      <c r="E156" s="9" t="s">
        <v>73</v>
      </c>
      <c r="F156" s="9" t="s">
        <v>15</v>
      </c>
      <c r="G156" s="9" t="s">
        <v>59</v>
      </c>
      <c r="H156" s="9" t="s">
        <v>17</v>
      </c>
      <c r="I156" s="9" t="s">
        <v>18</v>
      </c>
      <c r="J156" s="9">
        <v>8</v>
      </c>
      <c r="K156" s="9">
        <v>420</v>
      </c>
      <c r="L156" s="9">
        <v>0.2</v>
      </c>
      <c r="M156" s="9">
        <v>2135.21</v>
      </c>
      <c r="N156" s="9" t="s">
        <v>67</v>
      </c>
      <c r="O156" s="15">
        <f t="shared" si="15"/>
        <v>3360</v>
      </c>
      <c r="P156" s="20">
        <f t="shared" si="16"/>
        <v>672</v>
      </c>
      <c r="R156" s="25">
        <f t="shared" si="17"/>
        <v>26880</v>
      </c>
      <c r="S156" s="24">
        <f t="shared" si="18"/>
        <v>0</v>
      </c>
    </row>
    <row r="157" spans="1:19" ht="15.6" thickTop="1" thickBot="1" x14ac:dyDescent="0.35">
      <c r="A157" s="7" t="s">
        <v>344</v>
      </c>
      <c r="B157" s="14">
        <v>47012</v>
      </c>
      <c r="C157" s="14" t="str">
        <f t="shared" si="13"/>
        <v>2028</v>
      </c>
      <c r="D157" s="14" t="str">
        <f t="shared" si="14"/>
        <v>09</v>
      </c>
      <c r="E157" s="3" t="s">
        <v>76</v>
      </c>
      <c r="F157" s="3" t="s">
        <v>15</v>
      </c>
      <c r="G157" s="3" t="s">
        <v>38</v>
      </c>
      <c r="H157" s="3" t="s">
        <v>32</v>
      </c>
      <c r="I157" s="3" t="s">
        <v>60</v>
      </c>
      <c r="J157" s="3">
        <v>6</v>
      </c>
      <c r="K157" s="3">
        <v>1299</v>
      </c>
      <c r="L157" s="3">
        <v>0.2</v>
      </c>
      <c r="M157" s="3">
        <v>6588.52</v>
      </c>
      <c r="N157" s="3" t="s">
        <v>67</v>
      </c>
      <c r="O157" s="15">
        <f t="shared" si="15"/>
        <v>7794</v>
      </c>
      <c r="P157" s="20">
        <f t="shared" si="16"/>
        <v>1558.8000000000002</v>
      </c>
      <c r="R157" s="25">
        <f t="shared" si="17"/>
        <v>46764</v>
      </c>
      <c r="S157" s="24">
        <f t="shared" si="18"/>
        <v>0</v>
      </c>
    </row>
    <row r="158" spans="1:19" ht="15.6" thickTop="1" thickBot="1" x14ac:dyDescent="0.35">
      <c r="A158" s="8" t="s">
        <v>345</v>
      </c>
      <c r="B158" s="14">
        <v>47013</v>
      </c>
      <c r="C158" s="14" t="str">
        <f t="shared" si="13"/>
        <v>2028</v>
      </c>
      <c r="D158" s="14" t="str">
        <f t="shared" si="14"/>
        <v>09</v>
      </c>
      <c r="E158" s="9" t="s">
        <v>37</v>
      </c>
      <c r="F158" s="9" t="s">
        <v>23</v>
      </c>
      <c r="G158" s="9" t="s">
        <v>31</v>
      </c>
      <c r="H158" s="9" t="s">
        <v>39</v>
      </c>
      <c r="I158" s="9" t="s">
        <v>210</v>
      </c>
      <c r="J158" s="9">
        <v>3</v>
      </c>
      <c r="K158" s="9">
        <v>1999</v>
      </c>
      <c r="L158" s="9">
        <v>0.1</v>
      </c>
      <c r="M158" s="9">
        <v>3392.23</v>
      </c>
      <c r="N158" s="9" t="s">
        <v>67</v>
      </c>
      <c r="O158" s="15">
        <f t="shared" si="15"/>
        <v>5997</v>
      </c>
      <c r="P158" s="20">
        <f t="shared" si="16"/>
        <v>599.70000000000005</v>
      </c>
      <c r="R158" s="25">
        <f t="shared" si="17"/>
        <v>17991</v>
      </c>
      <c r="S158" s="24">
        <f t="shared" si="18"/>
        <v>0</v>
      </c>
    </row>
    <row r="159" spans="1:19" ht="15.6" thickTop="1" thickBot="1" x14ac:dyDescent="0.35">
      <c r="A159" s="7" t="s">
        <v>347</v>
      </c>
      <c r="B159" s="14">
        <v>47014</v>
      </c>
      <c r="C159" s="14" t="str">
        <f t="shared" si="13"/>
        <v>2028</v>
      </c>
      <c r="D159" s="14" t="str">
        <f t="shared" si="14"/>
        <v>09</v>
      </c>
      <c r="E159" s="3" t="s">
        <v>76</v>
      </c>
      <c r="F159" s="3" t="s">
        <v>15</v>
      </c>
      <c r="G159" s="3" t="s">
        <v>16</v>
      </c>
      <c r="H159" s="3" t="s">
        <v>25</v>
      </c>
      <c r="I159" s="3" t="s">
        <v>56</v>
      </c>
      <c r="J159" s="3">
        <v>2</v>
      </c>
      <c r="K159" s="3">
        <v>1499</v>
      </c>
      <c r="L159" s="3">
        <v>0.05</v>
      </c>
      <c r="M159" s="3">
        <v>1894.25</v>
      </c>
      <c r="N159" s="3" t="s">
        <v>19</v>
      </c>
      <c r="O159" s="15">
        <f t="shared" si="15"/>
        <v>2998</v>
      </c>
      <c r="P159" s="20">
        <f t="shared" si="16"/>
        <v>149.9</v>
      </c>
      <c r="R159" s="25">
        <f t="shared" si="17"/>
        <v>5996</v>
      </c>
      <c r="S159" s="24">
        <f t="shared" si="18"/>
        <v>0</v>
      </c>
    </row>
    <row r="160" spans="1:19" ht="15.6" thickTop="1" thickBot="1" x14ac:dyDescent="0.35">
      <c r="A160" s="8" t="s">
        <v>349</v>
      </c>
      <c r="B160" s="14">
        <v>47015</v>
      </c>
      <c r="C160" s="14" t="str">
        <f t="shared" si="13"/>
        <v>2028</v>
      </c>
      <c r="D160" s="14" t="str">
        <f t="shared" si="14"/>
        <v>09</v>
      </c>
      <c r="E160" s="9" t="s">
        <v>37</v>
      </c>
      <c r="F160" s="9" t="s">
        <v>15</v>
      </c>
      <c r="G160" s="9" t="s">
        <v>31</v>
      </c>
      <c r="H160" s="9" t="s">
        <v>32</v>
      </c>
      <c r="I160" s="9" t="s">
        <v>51</v>
      </c>
      <c r="J160" s="9">
        <v>1</v>
      </c>
      <c r="K160" s="9">
        <v>699</v>
      </c>
      <c r="L160" s="9">
        <v>0.15</v>
      </c>
      <c r="M160" s="9">
        <v>395.62</v>
      </c>
      <c r="N160" s="9" t="s">
        <v>19</v>
      </c>
      <c r="O160" s="15">
        <f t="shared" si="15"/>
        <v>699</v>
      </c>
      <c r="P160" s="20">
        <f t="shared" si="16"/>
        <v>104.85</v>
      </c>
      <c r="R160" s="25">
        <f t="shared" si="17"/>
        <v>699</v>
      </c>
      <c r="S160" s="24">
        <f t="shared" si="18"/>
        <v>0</v>
      </c>
    </row>
    <row r="161" spans="1:19" ht="15.6" thickTop="1" thickBot="1" x14ac:dyDescent="0.35">
      <c r="A161" s="7" t="s">
        <v>350</v>
      </c>
      <c r="B161" s="14">
        <v>47016</v>
      </c>
      <c r="C161" s="14" t="str">
        <f t="shared" si="13"/>
        <v>2028</v>
      </c>
      <c r="D161" s="14" t="str">
        <f t="shared" si="14"/>
        <v>09</v>
      </c>
      <c r="E161" s="3" t="s">
        <v>30</v>
      </c>
      <c r="F161" s="3" t="s">
        <v>23</v>
      </c>
      <c r="G161" s="3" t="s">
        <v>24</v>
      </c>
      <c r="H161" s="3" t="s">
        <v>17</v>
      </c>
      <c r="I161" s="3" t="s">
        <v>18</v>
      </c>
      <c r="J161" s="3">
        <v>1</v>
      </c>
      <c r="K161" s="3">
        <v>420</v>
      </c>
      <c r="L161" s="3">
        <v>0.1</v>
      </c>
      <c r="M161" s="3">
        <v>348.28</v>
      </c>
      <c r="N161" s="3" t="s">
        <v>44</v>
      </c>
      <c r="O161" s="15">
        <f t="shared" si="15"/>
        <v>420</v>
      </c>
      <c r="P161" s="20">
        <f t="shared" si="16"/>
        <v>42</v>
      </c>
      <c r="R161" s="25">
        <f t="shared" si="17"/>
        <v>420</v>
      </c>
      <c r="S161" s="24">
        <f t="shared" si="18"/>
        <v>0</v>
      </c>
    </row>
    <row r="162" spans="1:19" ht="15.6" thickTop="1" thickBot="1" x14ac:dyDescent="0.35">
      <c r="A162" s="8" t="s">
        <v>352</v>
      </c>
      <c r="B162" s="14">
        <v>47017</v>
      </c>
      <c r="C162" s="14" t="str">
        <f t="shared" si="13"/>
        <v>2028</v>
      </c>
      <c r="D162" s="14" t="str">
        <f t="shared" si="14"/>
        <v>09</v>
      </c>
      <c r="E162" s="9" t="s">
        <v>82</v>
      </c>
      <c r="F162" s="9" t="s">
        <v>15</v>
      </c>
      <c r="G162" s="9" t="s">
        <v>38</v>
      </c>
      <c r="H162" s="9" t="s">
        <v>32</v>
      </c>
      <c r="I162" s="9" t="s">
        <v>60</v>
      </c>
      <c r="J162" s="9">
        <v>8</v>
      </c>
      <c r="K162" s="9">
        <v>1299</v>
      </c>
      <c r="L162" s="9">
        <v>0.15</v>
      </c>
      <c r="M162" s="9">
        <v>7634.01</v>
      </c>
      <c r="N162" s="9" t="s">
        <v>27</v>
      </c>
      <c r="O162" s="15">
        <f t="shared" si="15"/>
        <v>10392</v>
      </c>
      <c r="P162" s="20">
        <f t="shared" si="16"/>
        <v>1558.8</v>
      </c>
      <c r="R162" s="25">
        <f t="shared" si="17"/>
        <v>83136</v>
      </c>
      <c r="S162" s="24">
        <f t="shared" si="18"/>
        <v>0</v>
      </c>
    </row>
    <row r="163" spans="1:19" ht="15.6" thickTop="1" thickBot="1" x14ac:dyDescent="0.35">
      <c r="A163" s="7" t="s">
        <v>354</v>
      </c>
      <c r="B163" s="14">
        <v>47018</v>
      </c>
      <c r="C163" s="14" t="str">
        <f t="shared" si="13"/>
        <v>2028</v>
      </c>
      <c r="D163" s="14" t="str">
        <f t="shared" si="14"/>
        <v>09</v>
      </c>
      <c r="E163" s="3" t="s">
        <v>63</v>
      </c>
      <c r="F163" s="3" t="s">
        <v>15</v>
      </c>
      <c r="G163" s="3" t="s">
        <v>31</v>
      </c>
      <c r="H163" s="3" t="s">
        <v>32</v>
      </c>
      <c r="I163" s="3" t="s">
        <v>103</v>
      </c>
      <c r="J163" s="3">
        <v>5</v>
      </c>
      <c r="K163" s="3">
        <v>499</v>
      </c>
      <c r="L163" s="3">
        <v>0.05</v>
      </c>
      <c r="M163" s="3">
        <v>1597.66</v>
      </c>
      <c r="N163" s="3" t="s">
        <v>27</v>
      </c>
      <c r="O163" s="15">
        <f t="shared" si="15"/>
        <v>2495</v>
      </c>
      <c r="P163" s="20">
        <f t="shared" si="16"/>
        <v>124.75</v>
      </c>
      <c r="R163" s="25">
        <f t="shared" si="17"/>
        <v>12475</v>
      </c>
      <c r="S163" s="24">
        <f t="shared" si="18"/>
        <v>0</v>
      </c>
    </row>
    <row r="164" spans="1:19" ht="15.6" thickTop="1" thickBot="1" x14ac:dyDescent="0.35">
      <c r="A164" s="8" t="s">
        <v>356</v>
      </c>
      <c r="B164" s="14">
        <v>47019</v>
      </c>
      <c r="C164" s="14" t="str">
        <f t="shared" si="13"/>
        <v>2028</v>
      </c>
      <c r="D164" s="14" t="str">
        <f t="shared" si="14"/>
        <v>09</v>
      </c>
      <c r="E164" s="9" t="s">
        <v>37</v>
      </c>
      <c r="F164" s="9" t="s">
        <v>23</v>
      </c>
      <c r="G164" s="9" t="s">
        <v>24</v>
      </c>
      <c r="H164" s="9" t="s">
        <v>25</v>
      </c>
      <c r="I164" s="9" t="s">
        <v>250</v>
      </c>
      <c r="J164" s="9">
        <v>1</v>
      </c>
      <c r="K164" s="9">
        <v>299</v>
      </c>
      <c r="L164" s="9">
        <v>0.2</v>
      </c>
      <c r="M164" s="9">
        <v>216.03</v>
      </c>
      <c r="N164" s="9" t="s">
        <v>34</v>
      </c>
      <c r="O164" s="15">
        <f t="shared" si="15"/>
        <v>299</v>
      </c>
      <c r="P164" s="20">
        <f t="shared" si="16"/>
        <v>59.800000000000004</v>
      </c>
      <c r="R164" s="25">
        <f t="shared" si="17"/>
        <v>299</v>
      </c>
      <c r="S164" s="24">
        <f t="shared" si="18"/>
        <v>0</v>
      </c>
    </row>
    <row r="165" spans="1:19" ht="15.6" thickTop="1" thickBot="1" x14ac:dyDescent="0.35">
      <c r="A165" s="7" t="s">
        <v>357</v>
      </c>
      <c r="B165" s="14">
        <v>47020</v>
      </c>
      <c r="C165" s="14" t="str">
        <f t="shared" si="13"/>
        <v>2028</v>
      </c>
      <c r="D165" s="14" t="str">
        <f t="shared" si="14"/>
        <v>09</v>
      </c>
      <c r="E165" s="3" t="s">
        <v>37</v>
      </c>
      <c r="F165" s="3" t="s">
        <v>15</v>
      </c>
      <c r="G165" s="3" t="s">
        <v>47</v>
      </c>
      <c r="H165" s="3" t="s">
        <v>17</v>
      </c>
      <c r="I165" s="3" t="s">
        <v>18</v>
      </c>
      <c r="J165" s="3">
        <v>7</v>
      </c>
      <c r="K165" s="3">
        <v>420</v>
      </c>
      <c r="L165" s="3">
        <v>0.05</v>
      </c>
      <c r="M165" s="3">
        <v>2202.98</v>
      </c>
      <c r="N165" s="3" t="s">
        <v>27</v>
      </c>
      <c r="O165" s="15">
        <f t="shared" si="15"/>
        <v>2940</v>
      </c>
      <c r="P165" s="20">
        <f t="shared" si="16"/>
        <v>147</v>
      </c>
      <c r="R165" s="25">
        <f t="shared" si="17"/>
        <v>20580</v>
      </c>
      <c r="S165" s="24">
        <f t="shared" si="18"/>
        <v>0</v>
      </c>
    </row>
    <row r="166" spans="1:19" ht="15.6" thickTop="1" thickBot="1" x14ac:dyDescent="0.35">
      <c r="A166" s="8" t="s">
        <v>359</v>
      </c>
      <c r="B166" s="14">
        <v>47021</v>
      </c>
      <c r="C166" s="14" t="str">
        <f t="shared" si="13"/>
        <v>2028</v>
      </c>
      <c r="D166" s="14" t="str">
        <f t="shared" si="14"/>
        <v>09</v>
      </c>
      <c r="E166" s="9" t="s">
        <v>43</v>
      </c>
      <c r="F166" s="9" t="s">
        <v>15</v>
      </c>
      <c r="G166" s="9" t="s">
        <v>47</v>
      </c>
      <c r="H166" s="9" t="s">
        <v>25</v>
      </c>
      <c r="I166" s="9" t="s">
        <v>250</v>
      </c>
      <c r="J166" s="9">
        <v>8</v>
      </c>
      <c r="K166" s="9">
        <v>299</v>
      </c>
      <c r="L166" s="9">
        <v>0</v>
      </c>
      <c r="M166" s="9">
        <v>1771.76</v>
      </c>
      <c r="N166" s="9" t="s">
        <v>44</v>
      </c>
      <c r="O166" s="15">
        <f t="shared" si="15"/>
        <v>2392</v>
      </c>
      <c r="P166" s="20">
        <f t="shared" si="16"/>
        <v>0</v>
      </c>
      <c r="R166" s="25">
        <f t="shared" si="17"/>
        <v>19136</v>
      </c>
      <c r="S166" s="24">
        <f t="shared" si="18"/>
        <v>0</v>
      </c>
    </row>
    <row r="167" spans="1:19" ht="15.6" thickTop="1" thickBot="1" x14ac:dyDescent="0.35">
      <c r="A167" s="7" t="s">
        <v>361</v>
      </c>
      <c r="B167" s="14">
        <v>47022</v>
      </c>
      <c r="C167" s="14" t="str">
        <f t="shared" si="13"/>
        <v>2028</v>
      </c>
      <c r="D167" s="14" t="str">
        <f t="shared" si="14"/>
        <v>09</v>
      </c>
      <c r="E167" s="3" t="s">
        <v>92</v>
      </c>
      <c r="F167" s="3" t="s">
        <v>23</v>
      </c>
      <c r="G167" s="3" t="s">
        <v>24</v>
      </c>
      <c r="H167" s="3" t="s">
        <v>17</v>
      </c>
      <c r="I167" s="3" t="s">
        <v>18</v>
      </c>
      <c r="J167" s="3">
        <v>2</v>
      </c>
      <c r="K167" s="3">
        <v>420</v>
      </c>
      <c r="L167" s="3">
        <v>0.2</v>
      </c>
      <c r="M167" s="3">
        <v>647.27</v>
      </c>
      <c r="N167" s="3" t="s">
        <v>44</v>
      </c>
      <c r="O167" s="15">
        <f t="shared" si="15"/>
        <v>840</v>
      </c>
      <c r="P167" s="20">
        <f t="shared" si="16"/>
        <v>168</v>
      </c>
      <c r="R167" s="25">
        <f t="shared" si="17"/>
        <v>1680</v>
      </c>
      <c r="S167" s="24">
        <f t="shared" si="18"/>
        <v>0</v>
      </c>
    </row>
    <row r="168" spans="1:19" ht="15.6" thickTop="1" thickBot="1" x14ac:dyDescent="0.35">
      <c r="A168" s="8" t="s">
        <v>363</v>
      </c>
      <c r="B168" s="14">
        <v>47023</v>
      </c>
      <c r="C168" s="14" t="str">
        <f t="shared" si="13"/>
        <v>2028</v>
      </c>
      <c r="D168" s="14" t="str">
        <f t="shared" si="14"/>
        <v>09</v>
      </c>
      <c r="E168" s="9" t="s">
        <v>92</v>
      </c>
      <c r="F168" s="9" t="s">
        <v>23</v>
      </c>
      <c r="G168" s="9" t="s">
        <v>47</v>
      </c>
      <c r="H168" s="9" t="s">
        <v>17</v>
      </c>
      <c r="I168" s="9" t="s">
        <v>18</v>
      </c>
      <c r="J168" s="9">
        <v>8</v>
      </c>
      <c r="K168" s="9">
        <v>420</v>
      </c>
      <c r="L168" s="9">
        <v>0.15</v>
      </c>
      <c r="M168" s="9">
        <v>2484.79</v>
      </c>
      <c r="N168" s="9" t="s">
        <v>34</v>
      </c>
      <c r="O168" s="15">
        <f t="shared" si="15"/>
        <v>3360</v>
      </c>
      <c r="P168" s="20">
        <f t="shared" si="16"/>
        <v>504</v>
      </c>
      <c r="R168" s="25">
        <f t="shared" si="17"/>
        <v>26880</v>
      </c>
      <c r="S168" s="24">
        <f t="shared" si="18"/>
        <v>0</v>
      </c>
    </row>
    <row r="169" spans="1:19" ht="15.6" thickTop="1" thickBot="1" x14ac:dyDescent="0.35">
      <c r="A169" s="7" t="s">
        <v>364</v>
      </c>
      <c r="B169" s="14">
        <v>47024</v>
      </c>
      <c r="C169" s="14" t="str">
        <f t="shared" si="13"/>
        <v>2028</v>
      </c>
      <c r="D169" s="14" t="str">
        <f t="shared" si="14"/>
        <v>09</v>
      </c>
      <c r="E169" s="3" t="s">
        <v>73</v>
      </c>
      <c r="F169" s="3" t="s">
        <v>15</v>
      </c>
      <c r="G169" s="3" t="s">
        <v>38</v>
      </c>
      <c r="H169" s="3" t="s">
        <v>39</v>
      </c>
      <c r="I169" s="3" t="s">
        <v>48</v>
      </c>
      <c r="J169" s="3">
        <v>4</v>
      </c>
      <c r="K169" s="3">
        <v>799</v>
      </c>
      <c r="L169" s="3">
        <v>0</v>
      </c>
      <c r="M169" s="3">
        <v>2060.39</v>
      </c>
      <c r="N169" s="3" t="s">
        <v>44</v>
      </c>
      <c r="O169" s="15">
        <f t="shared" si="15"/>
        <v>3196</v>
      </c>
      <c r="P169" s="20">
        <f t="shared" si="16"/>
        <v>0</v>
      </c>
      <c r="R169" s="25">
        <f t="shared" si="17"/>
        <v>12784</v>
      </c>
      <c r="S169" s="24">
        <f t="shared" si="18"/>
        <v>0</v>
      </c>
    </row>
    <row r="170" spans="1:19" ht="15.6" thickTop="1" thickBot="1" x14ac:dyDescent="0.35">
      <c r="A170" s="8" t="s">
        <v>366</v>
      </c>
      <c r="B170" s="14">
        <v>47025</v>
      </c>
      <c r="C170" s="14" t="str">
        <f t="shared" si="13"/>
        <v>2028</v>
      </c>
      <c r="D170" s="14" t="str">
        <f t="shared" si="14"/>
        <v>09</v>
      </c>
      <c r="E170" s="9" t="s">
        <v>37</v>
      </c>
      <c r="F170" s="9" t="s">
        <v>23</v>
      </c>
      <c r="G170" s="9" t="s">
        <v>38</v>
      </c>
      <c r="H170" s="9" t="s">
        <v>25</v>
      </c>
      <c r="I170" s="9" t="s">
        <v>79</v>
      </c>
      <c r="J170" s="9">
        <v>5</v>
      </c>
      <c r="K170" s="9">
        <v>899</v>
      </c>
      <c r="L170" s="9">
        <v>0.1</v>
      </c>
      <c r="M170" s="9">
        <v>3634.84</v>
      </c>
      <c r="N170" s="9" t="s">
        <v>27</v>
      </c>
      <c r="O170" s="15">
        <f t="shared" si="15"/>
        <v>4495</v>
      </c>
      <c r="P170" s="20">
        <f t="shared" si="16"/>
        <v>449.5</v>
      </c>
      <c r="R170" s="25">
        <f t="shared" si="17"/>
        <v>22475</v>
      </c>
      <c r="S170" s="24">
        <f t="shared" si="18"/>
        <v>0</v>
      </c>
    </row>
    <row r="171" spans="1:19" ht="15.6" thickTop="1" thickBot="1" x14ac:dyDescent="0.35">
      <c r="A171" s="7" t="s">
        <v>367</v>
      </c>
      <c r="B171" s="14">
        <v>47026</v>
      </c>
      <c r="C171" s="14" t="str">
        <f t="shared" si="13"/>
        <v>2028</v>
      </c>
      <c r="D171" s="14" t="str">
        <f t="shared" si="14"/>
        <v>09</v>
      </c>
      <c r="E171" s="3" t="s">
        <v>43</v>
      </c>
      <c r="F171" s="3" t="s">
        <v>23</v>
      </c>
      <c r="G171" s="3" t="s">
        <v>24</v>
      </c>
      <c r="H171" s="3" t="s">
        <v>17</v>
      </c>
      <c r="I171" s="3" t="s">
        <v>86</v>
      </c>
      <c r="J171" s="3">
        <v>7</v>
      </c>
      <c r="K171" s="3">
        <v>55</v>
      </c>
      <c r="L171" s="3">
        <v>0.15</v>
      </c>
      <c r="M171" s="3">
        <v>315.08</v>
      </c>
      <c r="N171" s="3" t="s">
        <v>67</v>
      </c>
      <c r="O171" s="15">
        <f t="shared" si="15"/>
        <v>385</v>
      </c>
      <c r="P171" s="20">
        <f t="shared" si="16"/>
        <v>57.75</v>
      </c>
      <c r="R171" s="25">
        <f t="shared" si="17"/>
        <v>2695</v>
      </c>
      <c r="S171" s="24">
        <f t="shared" si="18"/>
        <v>0</v>
      </c>
    </row>
    <row r="172" spans="1:19" ht="15.6" thickTop="1" thickBot="1" x14ac:dyDescent="0.35">
      <c r="A172" s="8" t="s">
        <v>368</v>
      </c>
      <c r="B172" s="14">
        <v>47027</v>
      </c>
      <c r="C172" s="14" t="str">
        <f t="shared" si="13"/>
        <v>2028</v>
      </c>
      <c r="D172" s="14" t="str">
        <f t="shared" si="14"/>
        <v>10</v>
      </c>
      <c r="E172" s="9" t="s">
        <v>82</v>
      </c>
      <c r="F172" s="9" t="s">
        <v>23</v>
      </c>
      <c r="G172" s="9" t="s">
        <v>16</v>
      </c>
      <c r="H172" s="9" t="s">
        <v>32</v>
      </c>
      <c r="I172" s="9" t="s">
        <v>51</v>
      </c>
      <c r="J172" s="9">
        <v>5</v>
      </c>
      <c r="K172" s="9">
        <v>699</v>
      </c>
      <c r="L172" s="9">
        <v>0</v>
      </c>
      <c r="M172" s="9">
        <v>2684.59</v>
      </c>
      <c r="N172" s="9" t="s">
        <v>27</v>
      </c>
      <c r="O172" s="15">
        <f t="shared" si="15"/>
        <v>3495</v>
      </c>
      <c r="P172" s="20">
        <f t="shared" si="16"/>
        <v>0</v>
      </c>
      <c r="R172" s="25">
        <f t="shared" si="17"/>
        <v>17475</v>
      </c>
      <c r="S172" s="24">
        <f t="shared" si="18"/>
        <v>0</v>
      </c>
    </row>
    <row r="173" spans="1:19" ht="15.6" thickTop="1" thickBot="1" x14ac:dyDescent="0.35">
      <c r="A173" s="7" t="s">
        <v>369</v>
      </c>
      <c r="B173" s="14">
        <v>47028</v>
      </c>
      <c r="C173" s="14" t="str">
        <f t="shared" si="13"/>
        <v>2028</v>
      </c>
      <c r="D173" s="14" t="str">
        <f t="shared" si="14"/>
        <v>10</v>
      </c>
      <c r="E173" s="3" t="s">
        <v>22</v>
      </c>
      <c r="F173" s="3" t="s">
        <v>15</v>
      </c>
      <c r="G173" s="3" t="s">
        <v>47</v>
      </c>
      <c r="H173" s="3" t="s">
        <v>17</v>
      </c>
      <c r="I173" s="3" t="s">
        <v>113</v>
      </c>
      <c r="J173" s="3">
        <v>2</v>
      </c>
      <c r="K173" s="3">
        <v>180</v>
      </c>
      <c r="L173" s="3">
        <v>0</v>
      </c>
      <c r="M173" s="3">
        <v>233.42</v>
      </c>
      <c r="N173" s="3" t="s">
        <v>44</v>
      </c>
      <c r="O173" s="15">
        <f t="shared" si="15"/>
        <v>360</v>
      </c>
      <c r="P173" s="20">
        <f t="shared" si="16"/>
        <v>0</v>
      </c>
      <c r="R173" s="25">
        <f t="shared" si="17"/>
        <v>720</v>
      </c>
      <c r="S173" s="24">
        <f t="shared" si="18"/>
        <v>0</v>
      </c>
    </row>
    <row r="174" spans="1:19" ht="15.6" thickTop="1" thickBot="1" x14ac:dyDescent="0.35">
      <c r="A174" s="8" t="s">
        <v>370</v>
      </c>
      <c r="B174" s="14">
        <v>47029</v>
      </c>
      <c r="C174" s="14" t="str">
        <f t="shared" si="13"/>
        <v>2028</v>
      </c>
      <c r="D174" s="14" t="str">
        <f t="shared" si="14"/>
        <v>10</v>
      </c>
      <c r="E174" s="9" t="s">
        <v>73</v>
      </c>
      <c r="F174" s="9" t="s">
        <v>23</v>
      </c>
      <c r="G174" s="9" t="s">
        <v>31</v>
      </c>
      <c r="H174" s="9" t="s">
        <v>32</v>
      </c>
      <c r="I174" s="9" t="s">
        <v>51</v>
      </c>
      <c r="J174" s="9">
        <v>8</v>
      </c>
      <c r="K174" s="9">
        <v>699</v>
      </c>
      <c r="L174" s="9">
        <v>0</v>
      </c>
      <c r="M174" s="9">
        <v>4294.8999999999996</v>
      </c>
      <c r="N174" s="9" t="s">
        <v>44</v>
      </c>
      <c r="O174" s="15">
        <f t="shared" si="15"/>
        <v>5592</v>
      </c>
      <c r="P174" s="20">
        <f t="shared" si="16"/>
        <v>0</v>
      </c>
      <c r="R174" s="25">
        <f t="shared" si="17"/>
        <v>44736</v>
      </c>
      <c r="S174" s="24">
        <f t="shared" si="18"/>
        <v>0</v>
      </c>
    </row>
    <row r="175" spans="1:19" ht="15.6" thickTop="1" thickBot="1" x14ac:dyDescent="0.35">
      <c r="A175" s="7" t="s">
        <v>372</v>
      </c>
      <c r="B175" s="14">
        <v>47030</v>
      </c>
      <c r="C175" s="14" t="str">
        <f t="shared" si="13"/>
        <v>2028</v>
      </c>
      <c r="D175" s="14" t="str">
        <f t="shared" si="14"/>
        <v>10</v>
      </c>
      <c r="E175" s="3" t="s">
        <v>37</v>
      </c>
      <c r="F175" s="3" t="s">
        <v>23</v>
      </c>
      <c r="G175" s="3" t="s">
        <v>16</v>
      </c>
      <c r="H175" s="3" t="s">
        <v>25</v>
      </c>
      <c r="I175" s="3" t="s">
        <v>26</v>
      </c>
      <c r="J175" s="3">
        <v>7</v>
      </c>
      <c r="K175" s="3">
        <v>599</v>
      </c>
      <c r="L175" s="3">
        <v>0.1</v>
      </c>
      <c r="M175" s="3">
        <v>2951.56</v>
      </c>
      <c r="N175" s="3" t="s">
        <v>34</v>
      </c>
      <c r="O175" s="15">
        <f t="shared" si="15"/>
        <v>4193</v>
      </c>
      <c r="P175" s="20">
        <f t="shared" si="16"/>
        <v>419.3</v>
      </c>
      <c r="R175" s="25">
        <f t="shared" si="17"/>
        <v>29351</v>
      </c>
      <c r="S175" s="24">
        <f t="shared" si="18"/>
        <v>0</v>
      </c>
    </row>
    <row r="176" spans="1:19" ht="15.6" thickTop="1" thickBot="1" x14ac:dyDescent="0.35">
      <c r="A176" s="8" t="s">
        <v>373</v>
      </c>
      <c r="B176" s="14">
        <v>47031</v>
      </c>
      <c r="C176" s="14" t="str">
        <f t="shared" si="13"/>
        <v>2028</v>
      </c>
      <c r="D176" s="14" t="str">
        <f t="shared" si="14"/>
        <v>10</v>
      </c>
      <c r="E176" s="9" t="s">
        <v>82</v>
      </c>
      <c r="F176" s="9" t="s">
        <v>23</v>
      </c>
      <c r="G176" s="9" t="s">
        <v>24</v>
      </c>
      <c r="H176" s="9" t="s">
        <v>39</v>
      </c>
      <c r="I176" s="9" t="s">
        <v>48</v>
      </c>
      <c r="J176" s="9">
        <v>4</v>
      </c>
      <c r="K176" s="9">
        <v>799</v>
      </c>
      <c r="L176" s="9">
        <v>0.1</v>
      </c>
      <c r="M176" s="9">
        <v>2105.0300000000002</v>
      </c>
      <c r="N176" s="9" t="s">
        <v>19</v>
      </c>
      <c r="O176" s="15">
        <f t="shared" si="15"/>
        <v>3196</v>
      </c>
      <c r="P176" s="20">
        <f t="shared" si="16"/>
        <v>319.60000000000002</v>
      </c>
      <c r="R176" s="25">
        <f t="shared" si="17"/>
        <v>12784</v>
      </c>
      <c r="S176" s="24">
        <f t="shared" si="18"/>
        <v>0</v>
      </c>
    </row>
    <row r="177" spans="1:19" ht="15.6" thickTop="1" thickBot="1" x14ac:dyDescent="0.35">
      <c r="A177" s="7" t="s">
        <v>375</v>
      </c>
      <c r="B177" s="14">
        <v>47032</v>
      </c>
      <c r="C177" s="14" t="str">
        <f t="shared" si="13"/>
        <v>2028</v>
      </c>
      <c r="D177" s="14" t="str">
        <f t="shared" si="14"/>
        <v>10</v>
      </c>
      <c r="E177" s="3" t="s">
        <v>22</v>
      </c>
      <c r="F177" s="3" t="s">
        <v>15</v>
      </c>
      <c r="G177" s="3" t="s">
        <v>16</v>
      </c>
      <c r="H177" s="3" t="s">
        <v>32</v>
      </c>
      <c r="I177" s="3" t="s">
        <v>51</v>
      </c>
      <c r="J177" s="3">
        <v>6</v>
      </c>
      <c r="K177" s="3">
        <v>699</v>
      </c>
      <c r="L177" s="3">
        <v>0.15</v>
      </c>
      <c r="M177" s="3">
        <v>3266.81</v>
      </c>
      <c r="N177" s="3" t="s">
        <v>19</v>
      </c>
      <c r="O177" s="15">
        <f t="shared" si="15"/>
        <v>4194</v>
      </c>
      <c r="P177" s="20">
        <f t="shared" si="16"/>
        <v>629.1</v>
      </c>
      <c r="R177" s="25">
        <f t="shared" si="17"/>
        <v>25164</v>
      </c>
      <c r="S177" s="24">
        <f t="shared" si="18"/>
        <v>0</v>
      </c>
    </row>
    <row r="178" spans="1:19" ht="15.6" thickTop="1" thickBot="1" x14ac:dyDescent="0.35">
      <c r="A178" s="8" t="s">
        <v>377</v>
      </c>
      <c r="B178" s="14">
        <v>47033</v>
      </c>
      <c r="C178" s="14" t="str">
        <f t="shared" si="13"/>
        <v>2028</v>
      </c>
      <c r="D178" s="14" t="str">
        <f t="shared" si="14"/>
        <v>10</v>
      </c>
      <c r="E178" s="9" t="s">
        <v>76</v>
      </c>
      <c r="F178" s="9" t="s">
        <v>23</v>
      </c>
      <c r="G178" s="9" t="s">
        <v>59</v>
      </c>
      <c r="H178" s="9" t="s">
        <v>17</v>
      </c>
      <c r="I178" s="9" t="s">
        <v>113</v>
      </c>
      <c r="J178" s="9">
        <v>4</v>
      </c>
      <c r="K178" s="9">
        <v>180</v>
      </c>
      <c r="L178" s="9">
        <v>0</v>
      </c>
      <c r="M178" s="9">
        <v>401.6</v>
      </c>
      <c r="N178" s="9" t="s">
        <v>34</v>
      </c>
      <c r="O178" s="15">
        <f t="shared" si="15"/>
        <v>720</v>
      </c>
      <c r="P178" s="20">
        <f t="shared" si="16"/>
        <v>0</v>
      </c>
      <c r="R178" s="25">
        <f t="shared" si="17"/>
        <v>2880</v>
      </c>
      <c r="S178" s="24">
        <f t="shared" si="18"/>
        <v>0</v>
      </c>
    </row>
    <row r="179" spans="1:19" ht="15.6" thickTop="1" thickBot="1" x14ac:dyDescent="0.35">
      <c r="A179" s="7" t="s">
        <v>379</v>
      </c>
      <c r="B179" s="14">
        <v>47034</v>
      </c>
      <c r="C179" s="14" t="str">
        <f t="shared" si="13"/>
        <v>2028</v>
      </c>
      <c r="D179" s="14" t="str">
        <f t="shared" si="14"/>
        <v>10</v>
      </c>
      <c r="E179" s="3" t="s">
        <v>76</v>
      </c>
      <c r="F179" s="3" t="s">
        <v>23</v>
      </c>
      <c r="G179" s="3" t="s">
        <v>47</v>
      </c>
      <c r="H179" s="3" t="s">
        <v>25</v>
      </c>
      <c r="I179" s="3" t="s">
        <v>56</v>
      </c>
      <c r="J179" s="3">
        <v>5</v>
      </c>
      <c r="K179" s="3">
        <v>1499</v>
      </c>
      <c r="L179" s="3">
        <v>0.15</v>
      </c>
      <c r="M179" s="3">
        <v>4604.71</v>
      </c>
      <c r="N179" s="3" t="s">
        <v>19</v>
      </c>
      <c r="O179" s="15">
        <f t="shared" si="15"/>
        <v>7495</v>
      </c>
      <c r="P179" s="20">
        <f t="shared" si="16"/>
        <v>1124.25</v>
      </c>
      <c r="R179" s="25">
        <f t="shared" si="17"/>
        <v>37475</v>
      </c>
      <c r="S179" s="24">
        <f t="shared" si="18"/>
        <v>0</v>
      </c>
    </row>
    <row r="180" spans="1:19" ht="15.6" thickTop="1" thickBot="1" x14ac:dyDescent="0.35">
      <c r="A180" s="8" t="s">
        <v>381</v>
      </c>
      <c r="B180" s="14">
        <v>47035</v>
      </c>
      <c r="C180" s="14" t="str">
        <f t="shared" si="13"/>
        <v>2028</v>
      </c>
      <c r="D180" s="14" t="str">
        <f t="shared" si="14"/>
        <v>10</v>
      </c>
      <c r="E180" s="9" t="s">
        <v>73</v>
      </c>
      <c r="F180" s="9" t="s">
        <v>15</v>
      </c>
      <c r="G180" s="9" t="s">
        <v>24</v>
      </c>
      <c r="H180" s="9" t="s">
        <v>39</v>
      </c>
      <c r="I180" s="9" t="s">
        <v>48</v>
      </c>
      <c r="J180" s="9">
        <v>8</v>
      </c>
      <c r="K180" s="9">
        <v>799</v>
      </c>
      <c r="L180" s="9">
        <v>0.05</v>
      </c>
      <c r="M180" s="9">
        <v>5238.91</v>
      </c>
      <c r="N180" s="9" t="s">
        <v>67</v>
      </c>
      <c r="O180" s="15">
        <f t="shared" si="15"/>
        <v>6392</v>
      </c>
      <c r="P180" s="20">
        <f t="shared" si="16"/>
        <v>319.60000000000002</v>
      </c>
      <c r="R180" s="25">
        <f t="shared" si="17"/>
        <v>51136</v>
      </c>
      <c r="S180" s="24">
        <f t="shared" si="18"/>
        <v>0</v>
      </c>
    </row>
    <row r="181" spans="1:19" ht="15.6" thickTop="1" thickBot="1" x14ac:dyDescent="0.35">
      <c r="A181" s="7" t="s">
        <v>382</v>
      </c>
      <c r="B181" s="14">
        <v>47036</v>
      </c>
      <c r="C181" s="14" t="str">
        <f t="shared" si="13"/>
        <v>2028</v>
      </c>
      <c r="D181" s="14" t="str">
        <f t="shared" si="14"/>
        <v>10</v>
      </c>
      <c r="E181" s="3" t="s">
        <v>43</v>
      </c>
      <c r="F181" s="3" t="s">
        <v>23</v>
      </c>
      <c r="G181" s="3" t="s">
        <v>16</v>
      </c>
      <c r="H181" s="3" t="s">
        <v>25</v>
      </c>
      <c r="I181" s="3" t="s">
        <v>70</v>
      </c>
      <c r="J181" s="3">
        <v>5</v>
      </c>
      <c r="K181" s="3">
        <v>1299</v>
      </c>
      <c r="L181" s="3">
        <v>0.1</v>
      </c>
      <c r="M181" s="3">
        <v>5231.13</v>
      </c>
      <c r="N181" s="3" t="s">
        <v>34</v>
      </c>
      <c r="O181" s="15">
        <f t="shared" si="15"/>
        <v>6495</v>
      </c>
      <c r="P181" s="20">
        <f t="shared" si="16"/>
        <v>649.5</v>
      </c>
      <c r="R181" s="25">
        <f t="shared" si="17"/>
        <v>32475</v>
      </c>
      <c r="S181" s="24">
        <f t="shared" si="18"/>
        <v>0</v>
      </c>
    </row>
    <row r="182" spans="1:19" ht="15.6" thickTop="1" thickBot="1" x14ac:dyDescent="0.35">
      <c r="A182" s="8" t="s">
        <v>383</v>
      </c>
      <c r="B182" s="14">
        <v>47037</v>
      </c>
      <c r="C182" s="14" t="str">
        <f t="shared" si="13"/>
        <v>2028</v>
      </c>
      <c r="D182" s="14" t="str">
        <f t="shared" si="14"/>
        <v>10</v>
      </c>
      <c r="E182" s="9" t="s">
        <v>76</v>
      </c>
      <c r="F182" s="9" t="s">
        <v>15</v>
      </c>
      <c r="G182" s="9" t="s">
        <v>24</v>
      </c>
      <c r="H182" s="9" t="s">
        <v>39</v>
      </c>
      <c r="I182" s="9" t="s">
        <v>40</v>
      </c>
      <c r="J182" s="9">
        <v>4</v>
      </c>
      <c r="K182" s="9">
        <v>1599</v>
      </c>
      <c r="L182" s="9">
        <v>0.15</v>
      </c>
      <c r="M182" s="9">
        <v>3568.23</v>
      </c>
      <c r="N182" s="9" t="s">
        <v>19</v>
      </c>
      <c r="O182" s="15">
        <f t="shared" si="15"/>
        <v>6396</v>
      </c>
      <c r="P182" s="20">
        <f t="shared" si="16"/>
        <v>959.4</v>
      </c>
      <c r="R182" s="25">
        <f t="shared" si="17"/>
        <v>25584</v>
      </c>
      <c r="S182" s="24">
        <f t="shared" si="18"/>
        <v>0</v>
      </c>
    </row>
    <row r="183" spans="1:19" ht="15.6" thickTop="1" thickBot="1" x14ac:dyDescent="0.35">
      <c r="A183" s="7" t="s">
        <v>385</v>
      </c>
      <c r="B183" s="14">
        <v>47038</v>
      </c>
      <c r="C183" s="14" t="str">
        <f t="shared" si="13"/>
        <v>2028</v>
      </c>
      <c r="D183" s="14" t="str">
        <f t="shared" si="14"/>
        <v>10</v>
      </c>
      <c r="E183" s="3" t="s">
        <v>43</v>
      </c>
      <c r="F183" s="3" t="s">
        <v>23</v>
      </c>
      <c r="G183" s="3" t="s">
        <v>47</v>
      </c>
      <c r="H183" s="3" t="s">
        <v>39</v>
      </c>
      <c r="I183" s="3" t="s">
        <v>210</v>
      </c>
      <c r="J183" s="3">
        <v>2</v>
      </c>
      <c r="K183" s="3">
        <v>1999</v>
      </c>
      <c r="L183" s="3">
        <v>0</v>
      </c>
      <c r="M183" s="3">
        <v>2569.86</v>
      </c>
      <c r="N183" s="3" t="s">
        <v>67</v>
      </c>
      <c r="O183" s="15">
        <f t="shared" si="15"/>
        <v>3998</v>
      </c>
      <c r="P183" s="20">
        <f t="shared" si="16"/>
        <v>0</v>
      </c>
      <c r="R183" s="25">
        <f t="shared" si="17"/>
        <v>7996</v>
      </c>
      <c r="S183" s="24">
        <f t="shared" si="18"/>
        <v>0</v>
      </c>
    </row>
    <row r="184" spans="1:19" ht="15.6" thickTop="1" thickBot="1" x14ac:dyDescent="0.35">
      <c r="A184" s="8" t="s">
        <v>387</v>
      </c>
      <c r="B184" s="14">
        <v>47039</v>
      </c>
      <c r="C184" s="14" t="str">
        <f t="shared" si="13"/>
        <v>2028</v>
      </c>
      <c r="D184" s="14" t="str">
        <f t="shared" si="14"/>
        <v>10</v>
      </c>
      <c r="E184" s="9" t="s">
        <v>37</v>
      </c>
      <c r="F184" s="9" t="s">
        <v>23</v>
      </c>
      <c r="G184" s="9" t="s">
        <v>47</v>
      </c>
      <c r="H184" s="9" t="s">
        <v>25</v>
      </c>
      <c r="I184" s="9" t="s">
        <v>79</v>
      </c>
      <c r="J184" s="9">
        <v>6</v>
      </c>
      <c r="K184" s="9">
        <v>899</v>
      </c>
      <c r="L184" s="9">
        <v>0</v>
      </c>
      <c r="M184" s="9">
        <v>3694.85</v>
      </c>
      <c r="N184" s="9" t="s">
        <v>19</v>
      </c>
      <c r="O184" s="15">
        <f t="shared" si="15"/>
        <v>5394</v>
      </c>
      <c r="P184" s="20">
        <f t="shared" si="16"/>
        <v>0</v>
      </c>
      <c r="R184" s="25">
        <f t="shared" si="17"/>
        <v>32364</v>
      </c>
      <c r="S184" s="24">
        <f t="shared" si="18"/>
        <v>0</v>
      </c>
    </row>
    <row r="185" spans="1:19" ht="15.6" thickTop="1" thickBot="1" x14ac:dyDescent="0.35">
      <c r="A185" s="7" t="s">
        <v>389</v>
      </c>
      <c r="B185" s="14">
        <v>47040</v>
      </c>
      <c r="C185" s="14" t="str">
        <f t="shared" si="13"/>
        <v>2028</v>
      </c>
      <c r="D185" s="14" t="str">
        <f t="shared" si="14"/>
        <v>10</v>
      </c>
      <c r="E185" s="3" t="s">
        <v>82</v>
      </c>
      <c r="F185" s="3" t="s">
        <v>15</v>
      </c>
      <c r="G185" s="3" t="s">
        <v>31</v>
      </c>
      <c r="H185" s="3" t="s">
        <v>32</v>
      </c>
      <c r="I185" s="3" t="s">
        <v>33</v>
      </c>
      <c r="J185" s="3">
        <v>1</v>
      </c>
      <c r="K185" s="3">
        <v>1499</v>
      </c>
      <c r="L185" s="3">
        <v>0</v>
      </c>
      <c r="M185" s="3">
        <v>1057.44</v>
      </c>
      <c r="N185" s="3" t="s">
        <v>44</v>
      </c>
      <c r="O185" s="15">
        <f t="shared" si="15"/>
        <v>1499</v>
      </c>
      <c r="P185" s="20">
        <f t="shared" si="16"/>
        <v>0</v>
      </c>
      <c r="R185" s="25">
        <f t="shared" si="17"/>
        <v>1499</v>
      </c>
      <c r="S185" s="24">
        <f t="shared" si="18"/>
        <v>0</v>
      </c>
    </row>
    <row r="186" spans="1:19" ht="15.6" thickTop="1" thickBot="1" x14ac:dyDescent="0.35">
      <c r="A186" s="8" t="s">
        <v>390</v>
      </c>
      <c r="B186" s="14">
        <v>47041</v>
      </c>
      <c r="C186" s="14" t="str">
        <f t="shared" si="13"/>
        <v>2028</v>
      </c>
      <c r="D186" s="14" t="str">
        <f t="shared" si="14"/>
        <v>10</v>
      </c>
      <c r="E186" s="9" t="s">
        <v>82</v>
      </c>
      <c r="F186" s="9" t="s">
        <v>23</v>
      </c>
      <c r="G186" s="9" t="s">
        <v>16</v>
      </c>
      <c r="H186" s="9" t="s">
        <v>39</v>
      </c>
      <c r="I186" s="9" t="s">
        <v>106</v>
      </c>
      <c r="J186" s="9">
        <v>5</v>
      </c>
      <c r="K186" s="9">
        <v>999</v>
      </c>
      <c r="L186" s="9">
        <v>0</v>
      </c>
      <c r="M186" s="9">
        <v>3122.78</v>
      </c>
      <c r="N186" s="9" t="s">
        <v>19</v>
      </c>
      <c r="O186" s="15">
        <f t="shared" si="15"/>
        <v>4995</v>
      </c>
      <c r="P186" s="20">
        <f t="shared" si="16"/>
        <v>0</v>
      </c>
      <c r="R186" s="25">
        <f t="shared" si="17"/>
        <v>24975</v>
      </c>
      <c r="S186" s="24">
        <f t="shared" si="18"/>
        <v>0</v>
      </c>
    </row>
    <row r="187" spans="1:19" ht="15.6" thickTop="1" thickBot="1" x14ac:dyDescent="0.35">
      <c r="A187" s="7" t="s">
        <v>391</v>
      </c>
      <c r="B187" s="14">
        <v>47042</v>
      </c>
      <c r="C187" s="14" t="str">
        <f t="shared" si="13"/>
        <v>2028</v>
      </c>
      <c r="D187" s="14" t="str">
        <f t="shared" si="14"/>
        <v>10</v>
      </c>
      <c r="E187" s="3" t="s">
        <v>82</v>
      </c>
      <c r="F187" s="3" t="s">
        <v>23</v>
      </c>
      <c r="G187" s="3" t="s">
        <v>47</v>
      </c>
      <c r="H187" s="3" t="s">
        <v>25</v>
      </c>
      <c r="I187" s="3" t="s">
        <v>70</v>
      </c>
      <c r="J187" s="3">
        <v>3</v>
      </c>
      <c r="K187" s="3">
        <v>1299</v>
      </c>
      <c r="L187" s="3">
        <v>0.2</v>
      </c>
      <c r="M187" s="3">
        <v>3244.18</v>
      </c>
      <c r="N187" s="3" t="s">
        <v>34</v>
      </c>
      <c r="O187" s="15">
        <f t="shared" si="15"/>
        <v>3897</v>
      </c>
      <c r="P187" s="20">
        <f t="shared" si="16"/>
        <v>779.40000000000009</v>
      </c>
      <c r="R187" s="25">
        <f t="shared" si="17"/>
        <v>11691</v>
      </c>
      <c r="S187" s="24">
        <f t="shared" si="18"/>
        <v>0</v>
      </c>
    </row>
    <row r="188" spans="1:19" ht="15.6" thickTop="1" thickBot="1" x14ac:dyDescent="0.35">
      <c r="A188" s="8" t="s">
        <v>392</v>
      </c>
      <c r="B188" s="14">
        <v>47043</v>
      </c>
      <c r="C188" s="14" t="str">
        <f t="shared" si="13"/>
        <v>2028</v>
      </c>
      <c r="D188" s="14" t="str">
        <f t="shared" si="14"/>
        <v>10</v>
      </c>
      <c r="E188" s="9" t="s">
        <v>22</v>
      </c>
      <c r="F188" s="9" t="s">
        <v>23</v>
      </c>
      <c r="G188" s="9" t="s">
        <v>47</v>
      </c>
      <c r="H188" s="9" t="s">
        <v>25</v>
      </c>
      <c r="I188" s="9" t="s">
        <v>26</v>
      </c>
      <c r="J188" s="9">
        <v>2</v>
      </c>
      <c r="K188" s="9">
        <v>599</v>
      </c>
      <c r="L188" s="9">
        <v>0</v>
      </c>
      <c r="M188" s="9">
        <v>999.81</v>
      </c>
      <c r="N188" s="9" t="s">
        <v>19</v>
      </c>
      <c r="O188" s="15">
        <f t="shared" si="15"/>
        <v>1198</v>
      </c>
      <c r="P188" s="20">
        <f t="shared" si="16"/>
        <v>0</v>
      </c>
      <c r="R188" s="25">
        <f t="shared" si="17"/>
        <v>2396</v>
      </c>
      <c r="S188" s="24">
        <f t="shared" si="18"/>
        <v>0</v>
      </c>
    </row>
    <row r="189" spans="1:19" ht="15.6" thickTop="1" thickBot="1" x14ac:dyDescent="0.35">
      <c r="A189" s="7" t="s">
        <v>394</v>
      </c>
      <c r="B189" s="14">
        <v>47044</v>
      </c>
      <c r="C189" s="14" t="str">
        <f t="shared" si="13"/>
        <v>2028</v>
      </c>
      <c r="D189" s="14" t="str">
        <f t="shared" si="14"/>
        <v>10</v>
      </c>
      <c r="E189" s="3" t="s">
        <v>30</v>
      </c>
      <c r="F189" s="3" t="s">
        <v>23</v>
      </c>
      <c r="G189" s="3" t="s">
        <v>47</v>
      </c>
      <c r="H189" s="3" t="s">
        <v>25</v>
      </c>
      <c r="I189" s="3" t="s">
        <v>250</v>
      </c>
      <c r="J189" s="3">
        <v>5</v>
      </c>
      <c r="K189" s="3">
        <v>299</v>
      </c>
      <c r="L189" s="3">
        <v>0.1</v>
      </c>
      <c r="M189" s="3">
        <v>1038.8499999999999</v>
      </c>
      <c r="N189" s="3" t="s">
        <v>67</v>
      </c>
      <c r="O189" s="15">
        <f t="shared" si="15"/>
        <v>1495</v>
      </c>
      <c r="P189" s="20">
        <f t="shared" si="16"/>
        <v>149.5</v>
      </c>
      <c r="R189" s="25">
        <f t="shared" si="17"/>
        <v>7475</v>
      </c>
      <c r="S189" s="24">
        <f t="shared" si="18"/>
        <v>0</v>
      </c>
    </row>
    <row r="190" spans="1:19" ht="15.6" thickTop="1" thickBot="1" x14ac:dyDescent="0.35">
      <c r="A190" s="8" t="s">
        <v>396</v>
      </c>
      <c r="B190" s="14">
        <v>47045</v>
      </c>
      <c r="C190" s="14" t="str">
        <f t="shared" si="13"/>
        <v>2028</v>
      </c>
      <c r="D190" s="14" t="str">
        <f t="shared" si="14"/>
        <v>10</v>
      </c>
      <c r="E190" s="9" t="s">
        <v>73</v>
      </c>
      <c r="F190" s="9" t="s">
        <v>15</v>
      </c>
      <c r="G190" s="9" t="s">
        <v>16</v>
      </c>
      <c r="H190" s="9" t="s">
        <v>25</v>
      </c>
      <c r="I190" s="9" t="s">
        <v>79</v>
      </c>
      <c r="J190" s="9">
        <v>8</v>
      </c>
      <c r="K190" s="9">
        <v>899</v>
      </c>
      <c r="L190" s="9">
        <v>0.15</v>
      </c>
      <c r="M190" s="9">
        <v>5000.42</v>
      </c>
      <c r="N190" s="9" t="s">
        <v>34</v>
      </c>
      <c r="O190" s="15">
        <f t="shared" si="15"/>
        <v>7192</v>
      </c>
      <c r="P190" s="20">
        <f t="shared" si="16"/>
        <v>1078.8</v>
      </c>
      <c r="R190" s="25">
        <f t="shared" si="17"/>
        <v>57536</v>
      </c>
      <c r="S190" s="24">
        <f t="shared" si="18"/>
        <v>0</v>
      </c>
    </row>
    <row r="191" spans="1:19" ht="15.6" thickTop="1" thickBot="1" x14ac:dyDescent="0.35">
      <c r="A191" s="7" t="s">
        <v>398</v>
      </c>
      <c r="B191" s="14">
        <v>47046</v>
      </c>
      <c r="C191" s="14" t="str">
        <f t="shared" si="13"/>
        <v>2028</v>
      </c>
      <c r="D191" s="14" t="str">
        <f t="shared" si="14"/>
        <v>10</v>
      </c>
      <c r="E191" s="3" t="s">
        <v>22</v>
      </c>
      <c r="F191" s="3" t="s">
        <v>15</v>
      </c>
      <c r="G191" s="3" t="s">
        <v>38</v>
      </c>
      <c r="H191" s="3" t="s">
        <v>17</v>
      </c>
      <c r="I191" s="3" t="s">
        <v>113</v>
      </c>
      <c r="J191" s="3">
        <v>7</v>
      </c>
      <c r="K191" s="3">
        <v>180</v>
      </c>
      <c r="L191" s="3">
        <v>0.05</v>
      </c>
      <c r="M191" s="3">
        <v>980.53</v>
      </c>
      <c r="N191" s="3" t="s">
        <v>19</v>
      </c>
      <c r="O191" s="15">
        <f t="shared" si="15"/>
        <v>1260</v>
      </c>
      <c r="P191" s="20">
        <f t="shared" si="16"/>
        <v>63</v>
      </c>
      <c r="R191" s="25">
        <f t="shared" si="17"/>
        <v>8820</v>
      </c>
      <c r="S191" s="24">
        <f t="shared" si="18"/>
        <v>0</v>
      </c>
    </row>
    <row r="192" spans="1:19" ht="15.6" thickTop="1" thickBot="1" x14ac:dyDescent="0.35">
      <c r="A192" s="8" t="s">
        <v>399</v>
      </c>
      <c r="B192" s="14">
        <v>47047</v>
      </c>
      <c r="C192" s="14" t="str">
        <f t="shared" si="13"/>
        <v>2028</v>
      </c>
      <c r="D192" s="14" t="str">
        <f t="shared" si="14"/>
        <v>10</v>
      </c>
      <c r="E192" s="9" t="s">
        <v>14</v>
      </c>
      <c r="F192" s="9" t="s">
        <v>23</v>
      </c>
      <c r="G192" s="9" t="s">
        <v>31</v>
      </c>
      <c r="H192" s="9" t="s">
        <v>32</v>
      </c>
      <c r="I192" s="9" t="s">
        <v>103</v>
      </c>
      <c r="J192" s="9">
        <v>5</v>
      </c>
      <c r="K192" s="9">
        <v>499</v>
      </c>
      <c r="L192" s="9">
        <v>0.15</v>
      </c>
      <c r="M192" s="9">
        <v>1557.82</v>
      </c>
      <c r="N192" s="9" t="s">
        <v>27</v>
      </c>
      <c r="O192" s="15">
        <f t="shared" si="15"/>
        <v>2495</v>
      </c>
      <c r="P192" s="20">
        <f t="shared" si="16"/>
        <v>374.25</v>
      </c>
      <c r="R192" s="25">
        <f t="shared" si="17"/>
        <v>12475</v>
      </c>
      <c r="S192" s="24">
        <f t="shared" si="18"/>
        <v>0</v>
      </c>
    </row>
    <row r="193" spans="1:19" ht="15.6" thickTop="1" thickBot="1" x14ac:dyDescent="0.35">
      <c r="A193" s="7" t="s">
        <v>400</v>
      </c>
      <c r="B193" s="14">
        <v>47048</v>
      </c>
      <c r="C193" s="14" t="str">
        <f t="shared" si="13"/>
        <v>2028</v>
      </c>
      <c r="D193" s="14" t="str">
        <f t="shared" si="14"/>
        <v>10</v>
      </c>
      <c r="E193" s="3" t="s">
        <v>63</v>
      </c>
      <c r="F193" s="3" t="s">
        <v>23</v>
      </c>
      <c r="G193" s="3" t="s">
        <v>47</v>
      </c>
      <c r="H193" s="3" t="s">
        <v>32</v>
      </c>
      <c r="I193" s="3" t="s">
        <v>60</v>
      </c>
      <c r="J193" s="3">
        <v>3</v>
      </c>
      <c r="K193" s="3">
        <v>1299</v>
      </c>
      <c r="L193" s="3">
        <v>0.1</v>
      </c>
      <c r="M193" s="3">
        <v>3235</v>
      </c>
      <c r="N193" s="3" t="s">
        <v>44</v>
      </c>
      <c r="O193" s="15">
        <f t="shared" si="15"/>
        <v>3897</v>
      </c>
      <c r="P193" s="20">
        <f t="shared" si="16"/>
        <v>389.70000000000005</v>
      </c>
      <c r="R193" s="25">
        <f t="shared" si="17"/>
        <v>11691</v>
      </c>
      <c r="S193" s="24">
        <f t="shared" si="18"/>
        <v>0</v>
      </c>
    </row>
    <row r="194" spans="1:19" ht="15.6" thickTop="1" thickBot="1" x14ac:dyDescent="0.35">
      <c r="A194" s="8" t="s">
        <v>402</v>
      </c>
      <c r="B194" s="14">
        <v>47049</v>
      </c>
      <c r="C194" s="14" t="str">
        <f t="shared" si="13"/>
        <v>2028</v>
      </c>
      <c r="D194" s="14" t="str">
        <f t="shared" si="14"/>
        <v>10</v>
      </c>
      <c r="E194" s="9" t="s">
        <v>82</v>
      </c>
      <c r="F194" s="9" t="s">
        <v>23</v>
      </c>
      <c r="G194" s="9" t="s">
        <v>47</v>
      </c>
      <c r="H194" s="9" t="s">
        <v>32</v>
      </c>
      <c r="I194" s="9" t="s">
        <v>97</v>
      </c>
      <c r="J194" s="9">
        <v>5</v>
      </c>
      <c r="K194" s="9">
        <v>899</v>
      </c>
      <c r="L194" s="9">
        <v>0.15</v>
      </c>
      <c r="M194" s="9">
        <v>2503.5</v>
      </c>
      <c r="N194" s="9" t="s">
        <v>67</v>
      </c>
      <c r="O194" s="15">
        <f t="shared" si="15"/>
        <v>4495</v>
      </c>
      <c r="P194" s="20">
        <f t="shared" si="16"/>
        <v>674.25</v>
      </c>
      <c r="R194" s="25">
        <f t="shared" si="17"/>
        <v>22475</v>
      </c>
      <c r="S194" s="24">
        <f t="shared" si="18"/>
        <v>0</v>
      </c>
    </row>
    <row r="195" spans="1:19" ht="15.6" thickTop="1" thickBot="1" x14ac:dyDescent="0.35">
      <c r="A195" s="7" t="s">
        <v>404</v>
      </c>
      <c r="B195" s="14">
        <v>47050</v>
      </c>
      <c r="C195" s="14" t="str">
        <f t="shared" ref="C195:C258" si="19">TEXT(B195,"YYYY")</f>
        <v>2028</v>
      </c>
      <c r="D195" s="14" t="str">
        <f t="shared" ref="D195:D258" si="20">TEXT(B195,"MM")</f>
        <v>10</v>
      </c>
      <c r="E195" s="3" t="s">
        <v>73</v>
      </c>
      <c r="F195" s="3" t="s">
        <v>15</v>
      </c>
      <c r="G195" s="3" t="s">
        <v>31</v>
      </c>
      <c r="H195" s="3" t="s">
        <v>17</v>
      </c>
      <c r="I195" s="3" t="s">
        <v>89</v>
      </c>
      <c r="J195" s="3">
        <v>1</v>
      </c>
      <c r="K195" s="3">
        <v>650</v>
      </c>
      <c r="L195" s="3">
        <v>0.1</v>
      </c>
      <c r="M195" s="3">
        <v>454</v>
      </c>
      <c r="N195" s="3" t="s">
        <v>67</v>
      </c>
      <c r="O195" s="15">
        <f t="shared" ref="O195:O258" si="21">J195*K195</f>
        <v>650</v>
      </c>
      <c r="P195" s="20">
        <f t="shared" ref="P195:P258" si="22">O195*L195</f>
        <v>65</v>
      </c>
      <c r="R195" s="25">
        <f t="shared" ref="R195:R258" si="23">J195*(O195)</f>
        <v>650</v>
      </c>
      <c r="S195" s="24">
        <f t="shared" ref="S195:S258" si="24">IFERROR(R195 / Q195,0)</f>
        <v>0</v>
      </c>
    </row>
    <row r="196" spans="1:19" ht="15.6" thickTop="1" thickBot="1" x14ac:dyDescent="0.35">
      <c r="A196" s="8" t="s">
        <v>406</v>
      </c>
      <c r="B196" s="14">
        <v>47051</v>
      </c>
      <c r="C196" s="14" t="str">
        <f t="shared" si="19"/>
        <v>2028</v>
      </c>
      <c r="D196" s="14" t="str">
        <f t="shared" si="20"/>
        <v>10</v>
      </c>
      <c r="E196" s="9" t="s">
        <v>76</v>
      </c>
      <c r="F196" s="9" t="s">
        <v>15</v>
      </c>
      <c r="G196" s="9" t="s">
        <v>24</v>
      </c>
      <c r="H196" s="9" t="s">
        <v>32</v>
      </c>
      <c r="I196" s="9" t="s">
        <v>60</v>
      </c>
      <c r="J196" s="9">
        <v>5</v>
      </c>
      <c r="K196" s="9">
        <v>1299</v>
      </c>
      <c r="L196" s="9">
        <v>0.1</v>
      </c>
      <c r="M196" s="9">
        <v>5060.62</v>
      </c>
      <c r="N196" s="9" t="s">
        <v>44</v>
      </c>
      <c r="O196" s="15">
        <f t="shared" si="21"/>
        <v>6495</v>
      </c>
      <c r="P196" s="20">
        <f t="shared" si="22"/>
        <v>649.5</v>
      </c>
      <c r="R196" s="25">
        <f t="shared" si="23"/>
        <v>32475</v>
      </c>
      <c r="S196" s="24">
        <f t="shared" si="24"/>
        <v>0</v>
      </c>
    </row>
    <row r="197" spans="1:19" ht="15.6" thickTop="1" thickBot="1" x14ac:dyDescent="0.35">
      <c r="A197" s="7" t="s">
        <v>407</v>
      </c>
      <c r="B197" s="14">
        <v>47052</v>
      </c>
      <c r="C197" s="14" t="str">
        <f t="shared" si="19"/>
        <v>2028</v>
      </c>
      <c r="D197" s="14" t="str">
        <f t="shared" si="20"/>
        <v>10</v>
      </c>
      <c r="E197" s="3" t="s">
        <v>37</v>
      </c>
      <c r="F197" s="3" t="s">
        <v>15</v>
      </c>
      <c r="G197" s="3" t="s">
        <v>47</v>
      </c>
      <c r="H197" s="3" t="s">
        <v>39</v>
      </c>
      <c r="I197" s="3" t="s">
        <v>106</v>
      </c>
      <c r="J197" s="3">
        <v>5</v>
      </c>
      <c r="K197" s="3">
        <v>999</v>
      </c>
      <c r="L197" s="3">
        <v>0</v>
      </c>
      <c r="M197" s="3">
        <v>3326.19</v>
      </c>
      <c r="N197" s="3" t="s">
        <v>67</v>
      </c>
      <c r="O197" s="15">
        <f t="shared" si="21"/>
        <v>4995</v>
      </c>
      <c r="P197" s="20">
        <f t="shared" si="22"/>
        <v>0</v>
      </c>
      <c r="R197" s="25">
        <f t="shared" si="23"/>
        <v>24975</v>
      </c>
      <c r="S197" s="24">
        <f t="shared" si="24"/>
        <v>0</v>
      </c>
    </row>
    <row r="198" spans="1:19" ht="15.6" thickTop="1" thickBot="1" x14ac:dyDescent="0.35">
      <c r="A198" s="8" t="s">
        <v>409</v>
      </c>
      <c r="B198" s="14">
        <v>47053</v>
      </c>
      <c r="C198" s="14" t="str">
        <f t="shared" si="19"/>
        <v>2028</v>
      </c>
      <c r="D198" s="14" t="str">
        <f t="shared" si="20"/>
        <v>10</v>
      </c>
      <c r="E198" s="9" t="s">
        <v>63</v>
      </c>
      <c r="F198" s="9" t="s">
        <v>15</v>
      </c>
      <c r="G198" s="9" t="s">
        <v>31</v>
      </c>
      <c r="H198" s="9" t="s">
        <v>25</v>
      </c>
      <c r="I198" s="9" t="s">
        <v>250</v>
      </c>
      <c r="J198" s="9">
        <v>6</v>
      </c>
      <c r="K198" s="9">
        <v>299</v>
      </c>
      <c r="L198" s="9">
        <v>0.1</v>
      </c>
      <c r="M198" s="9">
        <v>1286.93</v>
      </c>
      <c r="N198" s="9" t="s">
        <v>44</v>
      </c>
      <c r="O198" s="15">
        <f t="shared" si="21"/>
        <v>1794</v>
      </c>
      <c r="P198" s="20">
        <f t="shared" si="22"/>
        <v>179.4</v>
      </c>
      <c r="R198" s="25">
        <f t="shared" si="23"/>
        <v>10764</v>
      </c>
      <c r="S198" s="24">
        <f t="shared" si="24"/>
        <v>0</v>
      </c>
    </row>
    <row r="199" spans="1:19" ht="15.6" thickTop="1" thickBot="1" x14ac:dyDescent="0.35">
      <c r="A199" s="7" t="s">
        <v>411</v>
      </c>
      <c r="B199" s="14">
        <v>47054</v>
      </c>
      <c r="C199" s="14" t="str">
        <f t="shared" si="19"/>
        <v>2028</v>
      </c>
      <c r="D199" s="14" t="str">
        <f t="shared" si="20"/>
        <v>10</v>
      </c>
      <c r="E199" s="3" t="s">
        <v>30</v>
      </c>
      <c r="F199" s="3" t="s">
        <v>23</v>
      </c>
      <c r="G199" s="3" t="s">
        <v>47</v>
      </c>
      <c r="H199" s="3" t="s">
        <v>25</v>
      </c>
      <c r="I199" s="3" t="s">
        <v>26</v>
      </c>
      <c r="J199" s="3">
        <v>1</v>
      </c>
      <c r="K199" s="3">
        <v>599</v>
      </c>
      <c r="L199" s="3">
        <v>0.05</v>
      </c>
      <c r="M199" s="3">
        <v>457.68</v>
      </c>
      <c r="N199" s="3" t="s">
        <v>67</v>
      </c>
      <c r="O199" s="15">
        <f t="shared" si="21"/>
        <v>599</v>
      </c>
      <c r="P199" s="20">
        <f t="shared" si="22"/>
        <v>29.950000000000003</v>
      </c>
      <c r="R199" s="25">
        <f t="shared" si="23"/>
        <v>599</v>
      </c>
      <c r="S199" s="24">
        <f t="shared" si="24"/>
        <v>0</v>
      </c>
    </row>
    <row r="200" spans="1:19" ht="15.6" thickTop="1" thickBot="1" x14ac:dyDescent="0.35">
      <c r="A200" s="8" t="s">
        <v>413</v>
      </c>
      <c r="B200" s="14">
        <v>47055</v>
      </c>
      <c r="C200" s="14" t="str">
        <f t="shared" si="19"/>
        <v>2028</v>
      </c>
      <c r="D200" s="14" t="str">
        <f t="shared" si="20"/>
        <v>10</v>
      </c>
      <c r="E200" s="9" t="s">
        <v>853</v>
      </c>
      <c r="F200" s="9" t="s">
        <v>15</v>
      </c>
      <c r="G200" s="9" t="s">
        <v>47</v>
      </c>
      <c r="H200" s="9" t="s">
        <v>39</v>
      </c>
      <c r="I200" s="9" t="s">
        <v>106</v>
      </c>
      <c r="J200" s="9">
        <v>6</v>
      </c>
      <c r="K200" s="9">
        <v>999</v>
      </c>
      <c r="L200" s="9">
        <v>0.05</v>
      </c>
      <c r="M200" s="9">
        <v>4003.31</v>
      </c>
      <c r="N200" s="9" t="s">
        <v>19</v>
      </c>
      <c r="O200" s="15">
        <f t="shared" si="21"/>
        <v>5994</v>
      </c>
      <c r="P200" s="20">
        <f t="shared" si="22"/>
        <v>299.7</v>
      </c>
      <c r="R200" s="25">
        <f t="shared" si="23"/>
        <v>35964</v>
      </c>
      <c r="S200" s="24">
        <f t="shared" si="24"/>
        <v>0</v>
      </c>
    </row>
    <row r="201" spans="1:19" ht="15.6" thickTop="1" thickBot="1" x14ac:dyDescent="0.35">
      <c r="A201" s="7" t="s">
        <v>415</v>
      </c>
      <c r="B201" s="14">
        <v>47056</v>
      </c>
      <c r="C201" s="14" t="str">
        <f t="shared" si="19"/>
        <v>2028</v>
      </c>
      <c r="D201" s="14" t="str">
        <f t="shared" si="20"/>
        <v>10</v>
      </c>
      <c r="E201" s="3" t="s">
        <v>22</v>
      </c>
      <c r="F201" s="3" t="s">
        <v>23</v>
      </c>
      <c r="G201" s="3" t="s">
        <v>47</v>
      </c>
      <c r="H201" s="3" t="s">
        <v>32</v>
      </c>
      <c r="I201" s="3" t="s">
        <v>33</v>
      </c>
      <c r="J201" s="3">
        <v>5</v>
      </c>
      <c r="K201" s="3">
        <v>1499</v>
      </c>
      <c r="L201" s="3">
        <v>0.15</v>
      </c>
      <c r="M201" s="3">
        <v>5956.46</v>
      </c>
      <c r="N201" s="3" t="s">
        <v>44</v>
      </c>
      <c r="O201" s="15">
        <f t="shared" si="21"/>
        <v>7495</v>
      </c>
      <c r="P201" s="20">
        <f t="shared" si="22"/>
        <v>1124.25</v>
      </c>
      <c r="R201" s="25">
        <f t="shared" si="23"/>
        <v>37475</v>
      </c>
      <c r="S201" s="24">
        <f t="shared" si="24"/>
        <v>0</v>
      </c>
    </row>
    <row r="202" spans="1:19" ht="15.6" thickTop="1" thickBot="1" x14ac:dyDescent="0.35">
      <c r="A202" s="8" t="s">
        <v>417</v>
      </c>
      <c r="B202" s="14">
        <v>47057</v>
      </c>
      <c r="C202" s="14" t="str">
        <f t="shared" si="19"/>
        <v>2028</v>
      </c>
      <c r="D202" s="14" t="str">
        <f t="shared" si="20"/>
        <v>10</v>
      </c>
      <c r="E202" s="9" t="s">
        <v>14</v>
      </c>
      <c r="F202" s="9" t="s">
        <v>23</v>
      </c>
      <c r="G202" s="9" t="s">
        <v>47</v>
      </c>
      <c r="H202" s="9" t="s">
        <v>17</v>
      </c>
      <c r="I202" s="9" t="s">
        <v>89</v>
      </c>
      <c r="J202" s="9">
        <v>8</v>
      </c>
      <c r="K202" s="9">
        <v>650</v>
      </c>
      <c r="L202" s="9">
        <v>0.1</v>
      </c>
      <c r="M202" s="9">
        <v>4368.63</v>
      </c>
      <c r="N202" s="9" t="s">
        <v>19</v>
      </c>
      <c r="O202" s="15">
        <f t="shared" si="21"/>
        <v>5200</v>
      </c>
      <c r="P202" s="20">
        <f t="shared" si="22"/>
        <v>520</v>
      </c>
      <c r="R202" s="25">
        <f t="shared" si="23"/>
        <v>41600</v>
      </c>
      <c r="S202" s="24">
        <f t="shared" si="24"/>
        <v>0</v>
      </c>
    </row>
    <row r="203" spans="1:19" ht="15.6" thickTop="1" thickBot="1" x14ac:dyDescent="0.35">
      <c r="A203" s="7" t="s">
        <v>419</v>
      </c>
      <c r="B203" s="14">
        <v>47058</v>
      </c>
      <c r="C203" s="14" t="str">
        <f t="shared" si="19"/>
        <v>2028</v>
      </c>
      <c r="D203" s="14" t="str">
        <f t="shared" si="20"/>
        <v>11</v>
      </c>
      <c r="E203" s="3" t="s">
        <v>30</v>
      </c>
      <c r="F203" s="3" t="s">
        <v>15</v>
      </c>
      <c r="G203" s="3" t="s">
        <v>47</v>
      </c>
      <c r="H203" s="3" t="s">
        <v>32</v>
      </c>
      <c r="I203" s="3" t="s">
        <v>60</v>
      </c>
      <c r="J203" s="3">
        <v>7</v>
      </c>
      <c r="K203" s="3">
        <v>1299</v>
      </c>
      <c r="L203" s="3">
        <v>0.05</v>
      </c>
      <c r="M203" s="3">
        <v>7242.56</v>
      </c>
      <c r="N203" s="3" t="s">
        <v>34</v>
      </c>
      <c r="O203" s="15">
        <f t="shared" si="21"/>
        <v>9093</v>
      </c>
      <c r="P203" s="20">
        <f t="shared" si="22"/>
        <v>454.65000000000003</v>
      </c>
      <c r="R203" s="25">
        <f t="shared" si="23"/>
        <v>63651</v>
      </c>
      <c r="S203" s="24">
        <f t="shared" si="24"/>
        <v>0</v>
      </c>
    </row>
    <row r="204" spans="1:19" ht="15.6" thickTop="1" thickBot="1" x14ac:dyDescent="0.35">
      <c r="A204" s="8" t="s">
        <v>421</v>
      </c>
      <c r="B204" s="14">
        <v>47059</v>
      </c>
      <c r="C204" s="14" t="str">
        <f t="shared" si="19"/>
        <v>2028</v>
      </c>
      <c r="D204" s="14" t="str">
        <f t="shared" si="20"/>
        <v>11</v>
      </c>
      <c r="E204" s="9" t="s">
        <v>22</v>
      </c>
      <c r="F204" s="9" t="s">
        <v>15</v>
      </c>
      <c r="G204" s="9" t="s">
        <v>31</v>
      </c>
      <c r="H204" s="9" t="s">
        <v>25</v>
      </c>
      <c r="I204" s="9" t="s">
        <v>250</v>
      </c>
      <c r="J204" s="9">
        <v>6</v>
      </c>
      <c r="K204" s="9">
        <v>299</v>
      </c>
      <c r="L204" s="9">
        <v>0.15</v>
      </c>
      <c r="M204" s="9">
        <v>1068.2</v>
      </c>
      <c r="N204" s="9" t="s">
        <v>34</v>
      </c>
      <c r="O204" s="15">
        <f t="shared" si="21"/>
        <v>1794</v>
      </c>
      <c r="P204" s="20">
        <f t="shared" si="22"/>
        <v>269.09999999999997</v>
      </c>
      <c r="R204" s="25">
        <f t="shared" si="23"/>
        <v>10764</v>
      </c>
      <c r="S204" s="24">
        <f t="shared" si="24"/>
        <v>0</v>
      </c>
    </row>
    <row r="205" spans="1:19" ht="15.6" thickTop="1" thickBot="1" x14ac:dyDescent="0.35">
      <c r="A205" s="7" t="s">
        <v>422</v>
      </c>
      <c r="B205" s="14">
        <v>47060</v>
      </c>
      <c r="C205" s="14" t="str">
        <f t="shared" si="19"/>
        <v>2028</v>
      </c>
      <c r="D205" s="14" t="str">
        <f t="shared" si="20"/>
        <v>11</v>
      </c>
      <c r="E205" s="3" t="s">
        <v>76</v>
      </c>
      <c r="F205" s="3" t="s">
        <v>23</v>
      </c>
      <c r="G205" s="3" t="s">
        <v>16</v>
      </c>
      <c r="H205" s="3" t="s">
        <v>25</v>
      </c>
      <c r="I205" s="3" t="s">
        <v>79</v>
      </c>
      <c r="J205" s="3">
        <v>4</v>
      </c>
      <c r="K205" s="3">
        <v>899</v>
      </c>
      <c r="L205" s="3">
        <v>0.2</v>
      </c>
      <c r="M205" s="3">
        <v>2328.46</v>
      </c>
      <c r="N205" s="3" t="s">
        <v>67</v>
      </c>
      <c r="O205" s="15">
        <f t="shared" si="21"/>
        <v>3596</v>
      </c>
      <c r="P205" s="20">
        <f t="shared" si="22"/>
        <v>719.2</v>
      </c>
      <c r="R205" s="25">
        <f t="shared" si="23"/>
        <v>14384</v>
      </c>
      <c r="S205" s="24">
        <f t="shared" si="24"/>
        <v>0</v>
      </c>
    </row>
    <row r="206" spans="1:19" ht="15.6" thickTop="1" thickBot="1" x14ac:dyDescent="0.35">
      <c r="A206" s="8" t="s">
        <v>424</v>
      </c>
      <c r="B206" s="14">
        <v>47061</v>
      </c>
      <c r="C206" s="14" t="str">
        <f t="shared" si="19"/>
        <v>2028</v>
      </c>
      <c r="D206" s="14" t="str">
        <f t="shared" si="20"/>
        <v>11</v>
      </c>
      <c r="E206" s="9" t="s">
        <v>37</v>
      </c>
      <c r="F206" s="9" t="s">
        <v>23</v>
      </c>
      <c r="G206" s="9" t="s">
        <v>31</v>
      </c>
      <c r="H206" s="9" t="s">
        <v>32</v>
      </c>
      <c r="I206" s="9" t="s">
        <v>33</v>
      </c>
      <c r="J206" s="9">
        <v>6</v>
      </c>
      <c r="K206" s="9">
        <v>1499</v>
      </c>
      <c r="L206" s="9">
        <v>0.2</v>
      </c>
      <c r="M206" s="9">
        <v>5902.64</v>
      </c>
      <c r="N206" s="9" t="s">
        <v>44</v>
      </c>
      <c r="O206" s="15">
        <f t="shared" si="21"/>
        <v>8994</v>
      </c>
      <c r="P206" s="20">
        <f t="shared" si="22"/>
        <v>1798.8000000000002</v>
      </c>
      <c r="R206" s="25">
        <f t="shared" si="23"/>
        <v>53964</v>
      </c>
      <c r="S206" s="24">
        <f t="shared" si="24"/>
        <v>0</v>
      </c>
    </row>
    <row r="207" spans="1:19" ht="15.6" thickTop="1" thickBot="1" x14ac:dyDescent="0.35">
      <c r="A207" s="7" t="s">
        <v>425</v>
      </c>
      <c r="B207" s="14">
        <v>47062</v>
      </c>
      <c r="C207" s="14" t="str">
        <f t="shared" si="19"/>
        <v>2028</v>
      </c>
      <c r="D207" s="14" t="str">
        <f t="shared" si="20"/>
        <v>11</v>
      </c>
      <c r="E207" s="3" t="s">
        <v>73</v>
      </c>
      <c r="F207" s="3" t="s">
        <v>15</v>
      </c>
      <c r="G207" s="3" t="s">
        <v>31</v>
      </c>
      <c r="H207" s="3" t="s">
        <v>17</v>
      </c>
      <c r="I207" s="3" t="s">
        <v>74</v>
      </c>
      <c r="J207" s="3">
        <v>5</v>
      </c>
      <c r="K207" s="3">
        <v>240</v>
      </c>
      <c r="L207" s="3">
        <v>0.05</v>
      </c>
      <c r="M207" s="3">
        <v>998.93</v>
      </c>
      <c r="N207" s="3" t="s">
        <v>44</v>
      </c>
      <c r="O207" s="15">
        <f t="shared" si="21"/>
        <v>1200</v>
      </c>
      <c r="P207" s="20">
        <f t="shared" si="22"/>
        <v>60</v>
      </c>
      <c r="R207" s="25">
        <f t="shared" si="23"/>
        <v>6000</v>
      </c>
      <c r="S207" s="24">
        <f t="shared" si="24"/>
        <v>0</v>
      </c>
    </row>
    <row r="208" spans="1:19" ht="15.6" thickTop="1" thickBot="1" x14ac:dyDescent="0.35">
      <c r="A208" s="8" t="s">
        <v>427</v>
      </c>
      <c r="B208" s="14">
        <v>47063</v>
      </c>
      <c r="C208" s="14" t="str">
        <f t="shared" si="19"/>
        <v>2028</v>
      </c>
      <c r="D208" s="14" t="str">
        <f t="shared" si="20"/>
        <v>11</v>
      </c>
      <c r="E208" s="9" t="s">
        <v>30</v>
      </c>
      <c r="F208" s="9" t="s">
        <v>23</v>
      </c>
      <c r="G208" s="9" t="s">
        <v>38</v>
      </c>
      <c r="H208" s="9" t="s">
        <v>32</v>
      </c>
      <c r="I208" s="9" t="s">
        <v>51</v>
      </c>
      <c r="J208" s="9">
        <v>5</v>
      </c>
      <c r="K208" s="9">
        <v>699</v>
      </c>
      <c r="L208" s="9">
        <v>0.1</v>
      </c>
      <c r="M208" s="9">
        <v>2050.0300000000002</v>
      </c>
      <c r="N208" s="9" t="s">
        <v>19</v>
      </c>
      <c r="O208" s="15">
        <f t="shared" si="21"/>
        <v>3495</v>
      </c>
      <c r="P208" s="20">
        <f t="shared" si="22"/>
        <v>349.5</v>
      </c>
      <c r="R208" s="25">
        <f t="shared" si="23"/>
        <v>17475</v>
      </c>
      <c r="S208" s="24">
        <f t="shared" si="24"/>
        <v>0</v>
      </c>
    </row>
    <row r="209" spans="1:19" ht="15.6" thickTop="1" thickBot="1" x14ac:dyDescent="0.35">
      <c r="A209" s="7" t="s">
        <v>428</v>
      </c>
      <c r="B209" s="14">
        <v>47064</v>
      </c>
      <c r="C209" s="14" t="str">
        <f t="shared" si="19"/>
        <v>2028</v>
      </c>
      <c r="D209" s="14" t="str">
        <f t="shared" si="20"/>
        <v>11</v>
      </c>
      <c r="E209" s="3" t="s">
        <v>37</v>
      </c>
      <c r="F209" s="3" t="s">
        <v>23</v>
      </c>
      <c r="G209" s="3" t="s">
        <v>31</v>
      </c>
      <c r="H209" s="3" t="s">
        <v>17</v>
      </c>
      <c r="I209" s="3" t="s">
        <v>89</v>
      </c>
      <c r="J209" s="3">
        <v>5</v>
      </c>
      <c r="K209" s="3">
        <v>650</v>
      </c>
      <c r="L209" s="3">
        <v>0</v>
      </c>
      <c r="M209" s="3">
        <v>2125.1999999999998</v>
      </c>
      <c r="N209" s="3" t="s">
        <v>67</v>
      </c>
      <c r="O209" s="15">
        <f t="shared" si="21"/>
        <v>3250</v>
      </c>
      <c r="P209" s="20">
        <f t="shared" si="22"/>
        <v>0</v>
      </c>
      <c r="R209" s="25">
        <f t="shared" si="23"/>
        <v>16250</v>
      </c>
      <c r="S209" s="24">
        <f t="shared" si="24"/>
        <v>0</v>
      </c>
    </row>
    <row r="210" spans="1:19" ht="15.6" thickTop="1" thickBot="1" x14ac:dyDescent="0.35">
      <c r="A210" s="8" t="s">
        <v>429</v>
      </c>
      <c r="B210" s="14">
        <v>47065</v>
      </c>
      <c r="C210" s="14" t="str">
        <f t="shared" si="19"/>
        <v>2028</v>
      </c>
      <c r="D210" s="14" t="str">
        <f t="shared" si="20"/>
        <v>11</v>
      </c>
      <c r="E210" s="9" t="s">
        <v>63</v>
      </c>
      <c r="F210" s="9" t="s">
        <v>23</v>
      </c>
      <c r="G210" s="9" t="s">
        <v>31</v>
      </c>
      <c r="H210" s="9" t="s">
        <v>39</v>
      </c>
      <c r="I210" s="9" t="s">
        <v>210</v>
      </c>
      <c r="J210" s="9">
        <v>5</v>
      </c>
      <c r="K210" s="9">
        <v>1999</v>
      </c>
      <c r="L210" s="9">
        <v>0.2</v>
      </c>
      <c r="M210" s="9">
        <v>7584.72</v>
      </c>
      <c r="N210" s="9" t="s">
        <v>34</v>
      </c>
      <c r="O210" s="15">
        <f t="shared" si="21"/>
        <v>9995</v>
      </c>
      <c r="P210" s="20">
        <f t="shared" si="22"/>
        <v>1999</v>
      </c>
      <c r="R210" s="25">
        <f t="shared" si="23"/>
        <v>49975</v>
      </c>
      <c r="S210" s="24">
        <f t="shared" si="24"/>
        <v>0</v>
      </c>
    </row>
    <row r="211" spans="1:19" ht="15.6" thickTop="1" thickBot="1" x14ac:dyDescent="0.35">
      <c r="A211" s="7" t="s">
        <v>430</v>
      </c>
      <c r="B211" s="14">
        <v>47066</v>
      </c>
      <c r="C211" s="14" t="str">
        <f t="shared" si="19"/>
        <v>2028</v>
      </c>
      <c r="D211" s="14" t="str">
        <f t="shared" si="20"/>
        <v>11</v>
      </c>
      <c r="E211" s="3" t="s">
        <v>22</v>
      </c>
      <c r="F211" s="3" t="s">
        <v>15</v>
      </c>
      <c r="G211" s="3" t="s">
        <v>31</v>
      </c>
      <c r="H211" s="3" t="s">
        <v>25</v>
      </c>
      <c r="I211" s="3" t="s">
        <v>70</v>
      </c>
      <c r="J211" s="3">
        <v>4</v>
      </c>
      <c r="K211" s="3">
        <v>1299</v>
      </c>
      <c r="L211" s="3">
        <v>0.05</v>
      </c>
      <c r="M211" s="3">
        <v>2939.62</v>
      </c>
      <c r="N211" s="3" t="s">
        <v>67</v>
      </c>
      <c r="O211" s="15">
        <f t="shared" si="21"/>
        <v>5196</v>
      </c>
      <c r="P211" s="20">
        <f t="shared" si="22"/>
        <v>259.8</v>
      </c>
      <c r="R211" s="25">
        <f t="shared" si="23"/>
        <v>20784</v>
      </c>
      <c r="S211" s="24">
        <f t="shared" si="24"/>
        <v>0</v>
      </c>
    </row>
    <row r="212" spans="1:19" ht="15.6" thickTop="1" thickBot="1" x14ac:dyDescent="0.35">
      <c r="A212" s="8" t="s">
        <v>431</v>
      </c>
      <c r="B212" s="14">
        <v>47067</v>
      </c>
      <c r="C212" s="14" t="str">
        <f t="shared" si="19"/>
        <v>2028</v>
      </c>
      <c r="D212" s="14" t="str">
        <f t="shared" si="20"/>
        <v>11</v>
      </c>
      <c r="E212" s="9" t="s">
        <v>73</v>
      </c>
      <c r="F212" s="9" t="s">
        <v>15</v>
      </c>
      <c r="G212" s="9" t="s">
        <v>16</v>
      </c>
      <c r="H212" s="9" t="s">
        <v>39</v>
      </c>
      <c r="I212" s="9" t="s">
        <v>48</v>
      </c>
      <c r="J212" s="9">
        <v>3</v>
      </c>
      <c r="K212" s="9">
        <v>799</v>
      </c>
      <c r="L212" s="9">
        <v>0.15</v>
      </c>
      <c r="M212" s="9">
        <v>1787.85</v>
      </c>
      <c r="N212" s="9" t="s">
        <v>67</v>
      </c>
      <c r="O212" s="15">
        <f t="shared" si="21"/>
        <v>2397</v>
      </c>
      <c r="P212" s="20">
        <f t="shared" si="22"/>
        <v>359.55</v>
      </c>
      <c r="R212" s="25">
        <f t="shared" si="23"/>
        <v>7191</v>
      </c>
      <c r="S212" s="24">
        <f t="shared" si="24"/>
        <v>0</v>
      </c>
    </row>
    <row r="213" spans="1:19" ht="15.6" thickTop="1" thickBot="1" x14ac:dyDescent="0.35">
      <c r="A213" s="7" t="s">
        <v>432</v>
      </c>
      <c r="B213" s="14">
        <v>47068</v>
      </c>
      <c r="C213" s="14" t="str">
        <f t="shared" si="19"/>
        <v>2028</v>
      </c>
      <c r="D213" s="14" t="str">
        <f t="shared" si="20"/>
        <v>11</v>
      </c>
      <c r="E213" s="3" t="s">
        <v>30</v>
      </c>
      <c r="F213" s="3" t="s">
        <v>23</v>
      </c>
      <c r="G213" s="3" t="s">
        <v>38</v>
      </c>
      <c r="H213" s="3" t="s">
        <v>17</v>
      </c>
      <c r="I213" s="3" t="s">
        <v>89</v>
      </c>
      <c r="J213" s="3">
        <v>2</v>
      </c>
      <c r="K213" s="3">
        <v>650</v>
      </c>
      <c r="L213" s="3">
        <v>0.2</v>
      </c>
      <c r="M213" s="3">
        <v>805.57</v>
      </c>
      <c r="N213" s="3" t="s">
        <v>27</v>
      </c>
      <c r="O213" s="15">
        <f t="shared" si="21"/>
        <v>1300</v>
      </c>
      <c r="P213" s="20">
        <f t="shared" si="22"/>
        <v>260</v>
      </c>
      <c r="R213" s="25">
        <f t="shared" si="23"/>
        <v>2600</v>
      </c>
      <c r="S213" s="24">
        <f t="shared" si="24"/>
        <v>0</v>
      </c>
    </row>
    <row r="214" spans="1:19" ht="15.6" thickTop="1" thickBot="1" x14ac:dyDescent="0.35">
      <c r="A214" s="8" t="s">
        <v>434</v>
      </c>
      <c r="B214" s="14">
        <v>47069</v>
      </c>
      <c r="C214" s="14" t="str">
        <f t="shared" si="19"/>
        <v>2028</v>
      </c>
      <c r="D214" s="14" t="str">
        <f t="shared" si="20"/>
        <v>11</v>
      </c>
      <c r="E214" s="9" t="s">
        <v>37</v>
      </c>
      <c r="F214" s="9" t="s">
        <v>15</v>
      </c>
      <c r="G214" s="9" t="s">
        <v>24</v>
      </c>
      <c r="H214" s="9" t="s">
        <v>32</v>
      </c>
      <c r="I214" s="9" t="s">
        <v>97</v>
      </c>
      <c r="J214" s="9">
        <v>3</v>
      </c>
      <c r="K214" s="9">
        <v>899</v>
      </c>
      <c r="L214" s="9">
        <v>0.1</v>
      </c>
      <c r="M214" s="9">
        <v>2192.7199999999998</v>
      </c>
      <c r="N214" s="9" t="s">
        <v>27</v>
      </c>
      <c r="O214" s="15">
        <f t="shared" si="21"/>
        <v>2697</v>
      </c>
      <c r="P214" s="20">
        <f t="shared" si="22"/>
        <v>269.7</v>
      </c>
      <c r="R214" s="25">
        <f t="shared" si="23"/>
        <v>8091</v>
      </c>
      <c r="S214" s="24">
        <f t="shared" si="24"/>
        <v>0</v>
      </c>
    </row>
    <row r="215" spans="1:19" ht="15.6" thickTop="1" thickBot="1" x14ac:dyDescent="0.35">
      <c r="A215" s="7" t="s">
        <v>436</v>
      </c>
      <c r="B215" s="14">
        <v>47070</v>
      </c>
      <c r="C215" s="14" t="str">
        <f t="shared" si="19"/>
        <v>2028</v>
      </c>
      <c r="D215" s="14" t="str">
        <f t="shared" si="20"/>
        <v>11</v>
      </c>
      <c r="E215" s="3" t="s">
        <v>22</v>
      </c>
      <c r="F215" s="3" t="s">
        <v>15</v>
      </c>
      <c r="G215" s="3" t="s">
        <v>38</v>
      </c>
      <c r="H215" s="3" t="s">
        <v>17</v>
      </c>
      <c r="I215" s="3" t="s">
        <v>86</v>
      </c>
      <c r="J215" s="3">
        <v>8</v>
      </c>
      <c r="K215" s="3">
        <v>55</v>
      </c>
      <c r="L215" s="3">
        <v>0.05</v>
      </c>
      <c r="M215" s="3">
        <v>354.34</v>
      </c>
      <c r="N215" s="3" t="s">
        <v>67</v>
      </c>
      <c r="O215" s="15">
        <f t="shared" si="21"/>
        <v>440</v>
      </c>
      <c r="P215" s="20">
        <f t="shared" si="22"/>
        <v>22</v>
      </c>
      <c r="R215" s="25">
        <f t="shared" si="23"/>
        <v>3520</v>
      </c>
      <c r="S215" s="24">
        <f t="shared" si="24"/>
        <v>0</v>
      </c>
    </row>
    <row r="216" spans="1:19" ht="15.6" thickTop="1" thickBot="1" x14ac:dyDescent="0.35">
      <c r="A216" s="8" t="s">
        <v>437</v>
      </c>
      <c r="B216" s="14">
        <v>47071</v>
      </c>
      <c r="C216" s="14" t="str">
        <f t="shared" si="19"/>
        <v>2028</v>
      </c>
      <c r="D216" s="14" t="str">
        <f t="shared" si="20"/>
        <v>11</v>
      </c>
      <c r="E216" s="9" t="s">
        <v>30</v>
      </c>
      <c r="F216" s="9" t="s">
        <v>15</v>
      </c>
      <c r="G216" s="9" t="s">
        <v>38</v>
      </c>
      <c r="H216" s="9" t="s">
        <v>39</v>
      </c>
      <c r="I216" s="9" t="s">
        <v>66</v>
      </c>
      <c r="J216" s="9">
        <v>5</v>
      </c>
      <c r="K216" s="9">
        <v>1199</v>
      </c>
      <c r="L216" s="9">
        <v>0.05</v>
      </c>
      <c r="M216" s="9">
        <v>3322.58</v>
      </c>
      <c r="N216" s="9" t="s">
        <v>44</v>
      </c>
      <c r="O216" s="15">
        <f t="shared" si="21"/>
        <v>5995</v>
      </c>
      <c r="P216" s="20">
        <f t="shared" si="22"/>
        <v>299.75</v>
      </c>
      <c r="R216" s="25">
        <f t="shared" si="23"/>
        <v>29975</v>
      </c>
      <c r="S216" s="24">
        <f t="shared" si="24"/>
        <v>0</v>
      </c>
    </row>
    <row r="217" spans="1:19" ht="15.6" thickTop="1" thickBot="1" x14ac:dyDescent="0.35">
      <c r="A217" s="7" t="s">
        <v>439</v>
      </c>
      <c r="B217" s="14">
        <v>47072</v>
      </c>
      <c r="C217" s="14" t="str">
        <f t="shared" si="19"/>
        <v>2028</v>
      </c>
      <c r="D217" s="14" t="str">
        <f t="shared" si="20"/>
        <v>11</v>
      </c>
      <c r="E217" s="3" t="s">
        <v>22</v>
      </c>
      <c r="F217" s="3" t="s">
        <v>15</v>
      </c>
      <c r="G217" s="3" t="s">
        <v>31</v>
      </c>
      <c r="H217" s="3" t="s">
        <v>32</v>
      </c>
      <c r="I217" s="3" t="s">
        <v>97</v>
      </c>
      <c r="J217" s="3">
        <v>6</v>
      </c>
      <c r="K217" s="3">
        <v>899</v>
      </c>
      <c r="L217" s="3">
        <v>0</v>
      </c>
      <c r="M217" s="3">
        <v>3615.33</v>
      </c>
      <c r="N217" s="3" t="s">
        <v>27</v>
      </c>
      <c r="O217" s="15">
        <f t="shared" si="21"/>
        <v>5394</v>
      </c>
      <c r="P217" s="20">
        <f t="shared" si="22"/>
        <v>0</v>
      </c>
      <c r="R217" s="25">
        <f t="shared" si="23"/>
        <v>32364</v>
      </c>
      <c r="S217" s="24">
        <f t="shared" si="24"/>
        <v>0</v>
      </c>
    </row>
    <row r="218" spans="1:19" ht="15.6" thickTop="1" thickBot="1" x14ac:dyDescent="0.35">
      <c r="A218" s="8" t="s">
        <v>441</v>
      </c>
      <c r="B218" s="14">
        <v>47073</v>
      </c>
      <c r="C218" s="14" t="str">
        <f t="shared" si="19"/>
        <v>2028</v>
      </c>
      <c r="D218" s="14" t="str">
        <f t="shared" si="20"/>
        <v>11</v>
      </c>
      <c r="E218" s="9" t="s">
        <v>82</v>
      </c>
      <c r="F218" s="9" t="s">
        <v>23</v>
      </c>
      <c r="G218" s="9" t="s">
        <v>38</v>
      </c>
      <c r="H218" s="9" t="s">
        <v>39</v>
      </c>
      <c r="I218" s="9" t="s">
        <v>48</v>
      </c>
      <c r="J218" s="9">
        <v>5</v>
      </c>
      <c r="K218" s="9">
        <v>799</v>
      </c>
      <c r="L218" s="9">
        <v>0.15</v>
      </c>
      <c r="M218" s="9">
        <v>2479.52</v>
      </c>
      <c r="N218" s="9" t="s">
        <v>44</v>
      </c>
      <c r="O218" s="15">
        <f t="shared" si="21"/>
        <v>3995</v>
      </c>
      <c r="P218" s="20">
        <f t="shared" si="22"/>
        <v>599.25</v>
      </c>
      <c r="R218" s="25">
        <f t="shared" si="23"/>
        <v>19975</v>
      </c>
      <c r="S218" s="24">
        <f t="shared" si="24"/>
        <v>0</v>
      </c>
    </row>
    <row r="219" spans="1:19" ht="15.6" thickTop="1" thickBot="1" x14ac:dyDescent="0.35">
      <c r="A219" s="7" t="s">
        <v>443</v>
      </c>
      <c r="B219" s="14">
        <v>47074</v>
      </c>
      <c r="C219" s="14" t="str">
        <f t="shared" si="19"/>
        <v>2028</v>
      </c>
      <c r="D219" s="14" t="str">
        <f t="shared" si="20"/>
        <v>11</v>
      </c>
      <c r="E219" s="3" t="s">
        <v>63</v>
      </c>
      <c r="F219" s="3" t="s">
        <v>15</v>
      </c>
      <c r="G219" s="3" t="s">
        <v>38</v>
      </c>
      <c r="H219" s="3" t="s">
        <v>17</v>
      </c>
      <c r="I219" s="3" t="s">
        <v>18</v>
      </c>
      <c r="J219" s="3">
        <v>1</v>
      </c>
      <c r="K219" s="3">
        <v>420</v>
      </c>
      <c r="L219" s="3">
        <v>0</v>
      </c>
      <c r="M219" s="3">
        <v>289.64</v>
      </c>
      <c r="N219" s="3" t="s">
        <v>34</v>
      </c>
      <c r="O219" s="15">
        <f t="shared" si="21"/>
        <v>420</v>
      </c>
      <c r="P219" s="20">
        <f t="shared" si="22"/>
        <v>0</v>
      </c>
      <c r="R219" s="25">
        <f t="shared" si="23"/>
        <v>420</v>
      </c>
      <c r="S219" s="24">
        <f t="shared" si="24"/>
        <v>0</v>
      </c>
    </row>
    <row r="220" spans="1:19" ht="15.6" thickTop="1" thickBot="1" x14ac:dyDescent="0.35">
      <c r="A220" s="8" t="s">
        <v>445</v>
      </c>
      <c r="B220" s="14">
        <v>47075</v>
      </c>
      <c r="C220" s="14" t="str">
        <f t="shared" si="19"/>
        <v>2028</v>
      </c>
      <c r="D220" s="14" t="str">
        <f t="shared" si="20"/>
        <v>11</v>
      </c>
      <c r="E220" s="9" t="s">
        <v>76</v>
      </c>
      <c r="F220" s="9" t="s">
        <v>23</v>
      </c>
      <c r="G220" s="9" t="s">
        <v>16</v>
      </c>
      <c r="H220" s="9" t="s">
        <v>25</v>
      </c>
      <c r="I220" s="9" t="s">
        <v>56</v>
      </c>
      <c r="J220" s="9">
        <v>6</v>
      </c>
      <c r="K220" s="9">
        <v>1499</v>
      </c>
      <c r="L220" s="9">
        <v>0.2</v>
      </c>
      <c r="M220" s="9">
        <v>5542.6</v>
      </c>
      <c r="N220" s="9" t="s">
        <v>34</v>
      </c>
      <c r="O220" s="15">
        <f t="shared" si="21"/>
        <v>8994</v>
      </c>
      <c r="P220" s="20">
        <f t="shared" si="22"/>
        <v>1798.8000000000002</v>
      </c>
      <c r="R220" s="25">
        <f t="shared" si="23"/>
        <v>53964</v>
      </c>
      <c r="S220" s="24">
        <f t="shared" si="24"/>
        <v>0</v>
      </c>
    </row>
    <row r="221" spans="1:19" ht="15.6" thickTop="1" thickBot="1" x14ac:dyDescent="0.35">
      <c r="A221" s="7" t="s">
        <v>447</v>
      </c>
      <c r="B221" s="14">
        <v>47076</v>
      </c>
      <c r="C221" s="14" t="str">
        <f t="shared" si="19"/>
        <v>2028</v>
      </c>
      <c r="D221" s="14" t="str">
        <f t="shared" si="20"/>
        <v>11</v>
      </c>
      <c r="E221" s="3" t="s">
        <v>82</v>
      </c>
      <c r="F221" s="3" t="s">
        <v>23</v>
      </c>
      <c r="G221" s="3" t="s">
        <v>16</v>
      </c>
      <c r="H221" s="3" t="s">
        <v>17</v>
      </c>
      <c r="I221" s="3" t="s">
        <v>86</v>
      </c>
      <c r="J221" s="3">
        <v>8</v>
      </c>
      <c r="K221" s="3">
        <v>55</v>
      </c>
      <c r="L221" s="3">
        <v>0.2</v>
      </c>
      <c r="M221" s="3">
        <v>347.86</v>
      </c>
      <c r="N221" s="3" t="s">
        <v>34</v>
      </c>
      <c r="O221" s="15">
        <f t="shared" si="21"/>
        <v>440</v>
      </c>
      <c r="P221" s="20">
        <f t="shared" si="22"/>
        <v>88</v>
      </c>
      <c r="R221" s="25">
        <f t="shared" si="23"/>
        <v>3520</v>
      </c>
      <c r="S221" s="24">
        <f t="shared" si="24"/>
        <v>0</v>
      </c>
    </row>
    <row r="222" spans="1:19" ht="15.6" thickTop="1" thickBot="1" x14ac:dyDescent="0.35">
      <c r="A222" s="8" t="s">
        <v>448</v>
      </c>
      <c r="B222" s="14">
        <v>47077</v>
      </c>
      <c r="C222" s="14" t="str">
        <f t="shared" si="19"/>
        <v>2028</v>
      </c>
      <c r="D222" s="14" t="str">
        <f t="shared" si="20"/>
        <v>11</v>
      </c>
      <c r="E222" s="9" t="s">
        <v>22</v>
      </c>
      <c r="F222" s="9" t="s">
        <v>15</v>
      </c>
      <c r="G222" s="9" t="s">
        <v>47</v>
      </c>
      <c r="H222" s="9" t="s">
        <v>32</v>
      </c>
      <c r="I222" s="9" t="s">
        <v>33</v>
      </c>
      <c r="J222" s="9">
        <v>6</v>
      </c>
      <c r="K222" s="9">
        <v>1499</v>
      </c>
      <c r="L222" s="9">
        <v>0</v>
      </c>
      <c r="M222" s="9">
        <v>7421.61</v>
      </c>
      <c r="N222" s="9" t="s">
        <v>27</v>
      </c>
      <c r="O222" s="15">
        <f t="shared" si="21"/>
        <v>8994</v>
      </c>
      <c r="P222" s="20">
        <f t="shared" si="22"/>
        <v>0</v>
      </c>
      <c r="R222" s="25">
        <f t="shared" si="23"/>
        <v>53964</v>
      </c>
      <c r="S222" s="24">
        <f t="shared" si="24"/>
        <v>0</v>
      </c>
    </row>
    <row r="223" spans="1:19" ht="15.6" thickTop="1" thickBot="1" x14ac:dyDescent="0.35">
      <c r="A223" s="7" t="s">
        <v>450</v>
      </c>
      <c r="B223" s="14">
        <v>47078</v>
      </c>
      <c r="C223" s="14" t="str">
        <f t="shared" si="19"/>
        <v>2028</v>
      </c>
      <c r="D223" s="14" t="str">
        <f t="shared" si="20"/>
        <v>11</v>
      </c>
      <c r="E223" s="3" t="s">
        <v>76</v>
      </c>
      <c r="F223" s="3" t="s">
        <v>15</v>
      </c>
      <c r="G223" s="3" t="s">
        <v>47</v>
      </c>
      <c r="H223" s="3" t="s">
        <v>39</v>
      </c>
      <c r="I223" s="3" t="s">
        <v>40</v>
      </c>
      <c r="J223" s="3">
        <v>6</v>
      </c>
      <c r="K223" s="3">
        <v>1599</v>
      </c>
      <c r="L223" s="3">
        <v>0.2</v>
      </c>
      <c r="M223" s="3">
        <v>6548.41</v>
      </c>
      <c r="N223" s="3" t="s">
        <v>34</v>
      </c>
      <c r="O223" s="15">
        <f t="shared" si="21"/>
        <v>9594</v>
      </c>
      <c r="P223" s="20">
        <f t="shared" si="22"/>
        <v>1918.8000000000002</v>
      </c>
      <c r="R223" s="25">
        <f t="shared" si="23"/>
        <v>57564</v>
      </c>
      <c r="S223" s="24">
        <f t="shared" si="24"/>
        <v>0</v>
      </c>
    </row>
    <row r="224" spans="1:19" ht="15.6" thickTop="1" thickBot="1" x14ac:dyDescent="0.35">
      <c r="A224" s="8" t="s">
        <v>451</v>
      </c>
      <c r="B224" s="14">
        <v>47079</v>
      </c>
      <c r="C224" s="14" t="str">
        <f t="shared" si="19"/>
        <v>2028</v>
      </c>
      <c r="D224" s="14" t="str">
        <f t="shared" si="20"/>
        <v>11</v>
      </c>
      <c r="E224" s="9" t="s">
        <v>73</v>
      </c>
      <c r="F224" s="9" t="s">
        <v>15</v>
      </c>
      <c r="G224" s="9" t="s">
        <v>47</v>
      </c>
      <c r="H224" s="9" t="s">
        <v>32</v>
      </c>
      <c r="I224" s="9" t="s">
        <v>103</v>
      </c>
      <c r="J224" s="9">
        <v>8</v>
      </c>
      <c r="K224" s="9">
        <v>499</v>
      </c>
      <c r="L224" s="9">
        <v>0.05</v>
      </c>
      <c r="M224" s="9">
        <v>2810.27</v>
      </c>
      <c r="N224" s="9" t="s">
        <v>67</v>
      </c>
      <c r="O224" s="15">
        <f t="shared" si="21"/>
        <v>3992</v>
      </c>
      <c r="P224" s="20">
        <f t="shared" si="22"/>
        <v>199.60000000000002</v>
      </c>
      <c r="R224" s="25">
        <f t="shared" si="23"/>
        <v>31936</v>
      </c>
      <c r="S224" s="24">
        <f t="shared" si="24"/>
        <v>0</v>
      </c>
    </row>
    <row r="225" spans="1:19" ht="15.6" thickTop="1" thickBot="1" x14ac:dyDescent="0.35">
      <c r="A225" s="7" t="s">
        <v>452</v>
      </c>
      <c r="B225" s="14">
        <v>47080</v>
      </c>
      <c r="C225" s="14" t="str">
        <f t="shared" si="19"/>
        <v>2028</v>
      </c>
      <c r="D225" s="14" t="str">
        <f t="shared" si="20"/>
        <v>11</v>
      </c>
      <c r="E225" s="3" t="s">
        <v>92</v>
      </c>
      <c r="F225" s="3" t="s">
        <v>23</v>
      </c>
      <c r="G225" s="3" t="s">
        <v>16</v>
      </c>
      <c r="H225" s="3" t="s">
        <v>17</v>
      </c>
      <c r="I225" s="3" t="s">
        <v>89</v>
      </c>
      <c r="J225" s="3">
        <v>7</v>
      </c>
      <c r="K225" s="3">
        <v>650</v>
      </c>
      <c r="L225" s="3">
        <v>0.1</v>
      </c>
      <c r="M225" s="3">
        <v>3616.96</v>
      </c>
      <c r="N225" s="3" t="s">
        <v>34</v>
      </c>
      <c r="O225" s="15">
        <f t="shared" si="21"/>
        <v>4550</v>
      </c>
      <c r="P225" s="20">
        <f t="shared" si="22"/>
        <v>455</v>
      </c>
      <c r="R225" s="25">
        <f t="shared" si="23"/>
        <v>31850</v>
      </c>
      <c r="S225" s="24">
        <f t="shared" si="24"/>
        <v>0</v>
      </c>
    </row>
    <row r="226" spans="1:19" ht="15.6" thickTop="1" thickBot="1" x14ac:dyDescent="0.35">
      <c r="A226" s="8" t="s">
        <v>454</v>
      </c>
      <c r="B226" s="14">
        <v>47081</v>
      </c>
      <c r="C226" s="14" t="str">
        <f t="shared" si="19"/>
        <v>2028</v>
      </c>
      <c r="D226" s="14" t="str">
        <f t="shared" si="20"/>
        <v>11</v>
      </c>
      <c r="E226" s="9" t="s">
        <v>14</v>
      </c>
      <c r="F226" s="9" t="s">
        <v>15</v>
      </c>
      <c r="G226" s="9" t="s">
        <v>59</v>
      </c>
      <c r="H226" s="9" t="s">
        <v>17</v>
      </c>
      <c r="I226" s="9" t="s">
        <v>89</v>
      </c>
      <c r="J226" s="9">
        <v>1</v>
      </c>
      <c r="K226" s="9">
        <v>650</v>
      </c>
      <c r="L226" s="9">
        <v>0</v>
      </c>
      <c r="M226" s="9">
        <v>549.79999999999995</v>
      </c>
      <c r="N226" s="9" t="s">
        <v>67</v>
      </c>
      <c r="O226" s="15">
        <f t="shared" si="21"/>
        <v>650</v>
      </c>
      <c r="P226" s="20">
        <f t="shared" si="22"/>
        <v>0</v>
      </c>
      <c r="R226" s="25">
        <f t="shared" si="23"/>
        <v>650</v>
      </c>
      <c r="S226" s="24">
        <f t="shared" si="24"/>
        <v>0</v>
      </c>
    </row>
    <row r="227" spans="1:19" ht="15.6" thickTop="1" thickBot="1" x14ac:dyDescent="0.35">
      <c r="A227" s="7" t="s">
        <v>455</v>
      </c>
      <c r="B227" s="14">
        <v>47082</v>
      </c>
      <c r="C227" s="14" t="str">
        <f t="shared" si="19"/>
        <v>2028</v>
      </c>
      <c r="D227" s="14" t="str">
        <f t="shared" si="20"/>
        <v>11</v>
      </c>
      <c r="E227" s="3" t="s">
        <v>63</v>
      </c>
      <c r="F227" s="3" t="s">
        <v>23</v>
      </c>
      <c r="G227" s="3" t="s">
        <v>31</v>
      </c>
      <c r="H227" s="3" t="s">
        <v>39</v>
      </c>
      <c r="I227" s="3" t="s">
        <v>66</v>
      </c>
      <c r="J227" s="3">
        <v>6</v>
      </c>
      <c r="K227" s="3">
        <v>1199</v>
      </c>
      <c r="L227" s="3">
        <v>0.15</v>
      </c>
      <c r="M227" s="3">
        <v>4924.7299999999996</v>
      </c>
      <c r="N227" s="3" t="s">
        <v>67</v>
      </c>
      <c r="O227" s="15">
        <f t="shared" si="21"/>
        <v>7194</v>
      </c>
      <c r="P227" s="20">
        <f t="shared" si="22"/>
        <v>1079.0999999999999</v>
      </c>
      <c r="R227" s="25">
        <f t="shared" si="23"/>
        <v>43164</v>
      </c>
      <c r="S227" s="24">
        <f t="shared" si="24"/>
        <v>0</v>
      </c>
    </row>
    <row r="228" spans="1:19" ht="15.6" thickTop="1" thickBot="1" x14ac:dyDescent="0.35">
      <c r="A228" s="8" t="s">
        <v>456</v>
      </c>
      <c r="B228" s="14">
        <v>47083</v>
      </c>
      <c r="C228" s="14" t="str">
        <f t="shared" si="19"/>
        <v>2028</v>
      </c>
      <c r="D228" s="14" t="str">
        <f t="shared" si="20"/>
        <v>11</v>
      </c>
      <c r="E228" s="9" t="s">
        <v>14</v>
      </c>
      <c r="F228" s="9" t="s">
        <v>15</v>
      </c>
      <c r="G228" s="9" t="s">
        <v>16</v>
      </c>
      <c r="H228" s="9" t="s">
        <v>17</v>
      </c>
      <c r="I228" s="9" t="s">
        <v>89</v>
      </c>
      <c r="J228" s="9">
        <v>3</v>
      </c>
      <c r="K228" s="9">
        <v>650</v>
      </c>
      <c r="L228" s="9">
        <v>0.2</v>
      </c>
      <c r="M228" s="9">
        <v>1302.44</v>
      </c>
      <c r="N228" s="9" t="s">
        <v>34</v>
      </c>
      <c r="O228" s="15">
        <f t="shared" si="21"/>
        <v>1950</v>
      </c>
      <c r="P228" s="20">
        <f t="shared" si="22"/>
        <v>390</v>
      </c>
      <c r="R228" s="25">
        <f t="shared" si="23"/>
        <v>5850</v>
      </c>
      <c r="S228" s="24">
        <f t="shared" si="24"/>
        <v>0</v>
      </c>
    </row>
    <row r="229" spans="1:19" ht="15.6" thickTop="1" thickBot="1" x14ac:dyDescent="0.35">
      <c r="A229" s="7" t="s">
        <v>458</v>
      </c>
      <c r="B229" s="14">
        <v>47084</v>
      </c>
      <c r="C229" s="14" t="str">
        <f t="shared" si="19"/>
        <v>2028</v>
      </c>
      <c r="D229" s="14" t="str">
        <f t="shared" si="20"/>
        <v>11</v>
      </c>
      <c r="E229" s="3" t="s">
        <v>92</v>
      </c>
      <c r="F229" s="3" t="s">
        <v>15</v>
      </c>
      <c r="G229" s="3" t="s">
        <v>38</v>
      </c>
      <c r="H229" s="3" t="s">
        <v>32</v>
      </c>
      <c r="I229" s="3" t="s">
        <v>33</v>
      </c>
      <c r="J229" s="3">
        <v>7</v>
      </c>
      <c r="K229" s="3">
        <v>1499</v>
      </c>
      <c r="L229" s="3">
        <v>0.2</v>
      </c>
      <c r="M229" s="3">
        <v>6965.07</v>
      </c>
      <c r="N229" s="3" t="s">
        <v>34</v>
      </c>
      <c r="O229" s="15">
        <f t="shared" si="21"/>
        <v>10493</v>
      </c>
      <c r="P229" s="20">
        <f t="shared" si="22"/>
        <v>2098.6</v>
      </c>
      <c r="R229" s="25">
        <f t="shared" si="23"/>
        <v>73451</v>
      </c>
      <c r="S229" s="24">
        <f t="shared" si="24"/>
        <v>0</v>
      </c>
    </row>
    <row r="230" spans="1:19" ht="15.6" thickTop="1" thickBot="1" x14ac:dyDescent="0.35">
      <c r="A230" s="8" t="s">
        <v>459</v>
      </c>
      <c r="B230" s="14">
        <v>47085</v>
      </c>
      <c r="C230" s="14" t="str">
        <f t="shared" si="19"/>
        <v>2028</v>
      </c>
      <c r="D230" s="14" t="str">
        <f t="shared" si="20"/>
        <v>11</v>
      </c>
      <c r="E230" s="9" t="s">
        <v>73</v>
      </c>
      <c r="F230" s="9" t="s">
        <v>23</v>
      </c>
      <c r="G230" s="9" t="s">
        <v>31</v>
      </c>
      <c r="H230" s="9" t="s">
        <v>17</v>
      </c>
      <c r="I230" s="9" t="s">
        <v>18</v>
      </c>
      <c r="J230" s="9">
        <v>2</v>
      </c>
      <c r="K230" s="9">
        <v>420</v>
      </c>
      <c r="L230" s="9">
        <v>0</v>
      </c>
      <c r="M230" s="9">
        <v>665.99</v>
      </c>
      <c r="N230" s="9" t="s">
        <v>67</v>
      </c>
      <c r="O230" s="15">
        <f t="shared" si="21"/>
        <v>840</v>
      </c>
      <c r="P230" s="20">
        <f t="shared" si="22"/>
        <v>0</v>
      </c>
      <c r="R230" s="25">
        <f t="shared" si="23"/>
        <v>1680</v>
      </c>
      <c r="S230" s="24">
        <f t="shared" si="24"/>
        <v>0</v>
      </c>
    </row>
    <row r="231" spans="1:19" ht="15.6" thickTop="1" thickBot="1" x14ac:dyDescent="0.35">
      <c r="A231" s="7" t="s">
        <v>460</v>
      </c>
      <c r="B231" s="14">
        <v>47086</v>
      </c>
      <c r="C231" s="14" t="str">
        <f t="shared" si="19"/>
        <v>2028</v>
      </c>
      <c r="D231" s="14" t="str">
        <f t="shared" si="20"/>
        <v>11</v>
      </c>
      <c r="E231" s="3" t="s">
        <v>92</v>
      </c>
      <c r="F231" s="3" t="s">
        <v>15</v>
      </c>
      <c r="G231" s="3" t="s">
        <v>31</v>
      </c>
      <c r="H231" s="3" t="s">
        <v>25</v>
      </c>
      <c r="I231" s="3" t="s">
        <v>26</v>
      </c>
      <c r="J231" s="3">
        <v>1</v>
      </c>
      <c r="K231" s="3">
        <v>599</v>
      </c>
      <c r="L231" s="3">
        <v>0.15</v>
      </c>
      <c r="M231" s="3">
        <v>436.87</v>
      </c>
      <c r="N231" s="3" t="s">
        <v>27</v>
      </c>
      <c r="O231" s="15">
        <f t="shared" si="21"/>
        <v>599</v>
      </c>
      <c r="P231" s="20">
        <f t="shared" si="22"/>
        <v>89.85</v>
      </c>
      <c r="R231" s="25">
        <f t="shared" si="23"/>
        <v>599</v>
      </c>
      <c r="S231" s="24">
        <f t="shared" si="24"/>
        <v>0</v>
      </c>
    </row>
    <row r="232" spans="1:19" ht="15.6" thickTop="1" thickBot="1" x14ac:dyDescent="0.35">
      <c r="A232" s="8" t="s">
        <v>461</v>
      </c>
      <c r="B232" s="14">
        <v>47087</v>
      </c>
      <c r="C232" s="14" t="str">
        <f t="shared" si="19"/>
        <v>2028</v>
      </c>
      <c r="D232" s="14" t="str">
        <f t="shared" si="20"/>
        <v>11</v>
      </c>
      <c r="E232" s="9" t="s">
        <v>92</v>
      </c>
      <c r="F232" s="9" t="s">
        <v>23</v>
      </c>
      <c r="G232" s="9" t="s">
        <v>59</v>
      </c>
      <c r="H232" s="9" t="s">
        <v>39</v>
      </c>
      <c r="I232" s="9" t="s">
        <v>210</v>
      </c>
      <c r="J232" s="9">
        <v>4</v>
      </c>
      <c r="K232" s="9">
        <v>1999</v>
      </c>
      <c r="L232" s="9">
        <v>0</v>
      </c>
      <c r="M232" s="9">
        <v>4733.96</v>
      </c>
      <c r="N232" s="9" t="s">
        <v>44</v>
      </c>
      <c r="O232" s="15">
        <f t="shared" si="21"/>
        <v>7996</v>
      </c>
      <c r="P232" s="20">
        <f t="shared" si="22"/>
        <v>0</v>
      </c>
      <c r="R232" s="25">
        <f t="shared" si="23"/>
        <v>31984</v>
      </c>
      <c r="S232" s="24">
        <f t="shared" si="24"/>
        <v>0</v>
      </c>
    </row>
    <row r="233" spans="1:19" ht="15.6" thickTop="1" thickBot="1" x14ac:dyDescent="0.35">
      <c r="A233" s="7" t="s">
        <v>463</v>
      </c>
      <c r="B233" s="14">
        <v>47088</v>
      </c>
      <c r="C233" s="14" t="str">
        <f t="shared" si="19"/>
        <v>2028</v>
      </c>
      <c r="D233" s="14" t="str">
        <f t="shared" si="20"/>
        <v>12</v>
      </c>
      <c r="E233" s="3" t="s">
        <v>22</v>
      </c>
      <c r="F233" s="3" t="s">
        <v>23</v>
      </c>
      <c r="G233" s="3" t="s">
        <v>47</v>
      </c>
      <c r="H233" s="3" t="s">
        <v>17</v>
      </c>
      <c r="I233" s="3" t="s">
        <v>18</v>
      </c>
      <c r="J233" s="3">
        <v>5</v>
      </c>
      <c r="K233" s="3">
        <v>420</v>
      </c>
      <c r="L233" s="3">
        <v>0.05</v>
      </c>
      <c r="M233" s="3">
        <v>1775.99</v>
      </c>
      <c r="N233" s="3" t="s">
        <v>19</v>
      </c>
      <c r="O233" s="15">
        <f t="shared" si="21"/>
        <v>2100</v>
      </c>
      <c r="P233" s="20">
        <f t="shared" si="22"/>
        <v>105</v>
      </c>
      <c r="R233" s="25">
        <f t="shared" si="23"/>
        <v>10500</v>
      </c>
      <c r="S233" s="24">
        <f t="shared" si="24"/>
        <v>0</v>
      </c>
    </row>
    <row r="234" spans="1:19" ht="15.6" thickTop="1" thickBot="1" x14ac:dyDescent="0.35">
      <c r="A234" s="8" t="s">
        <v>464</v>
      </c>
      <c r="B234" s="14">
        <v>47089</v>
      </c>
      <c r="C234" s="14" t="str">
        <f t="shared" si="19"/>
        <v>2028</v>
      </c>
      <c r="D234" s="14" t="str">
        <f t="shared" si="20"/>
        <v>12</v>
      </c>
      <c r="E234" s="9" t="s">
        <v>37</v>
      </c>
      <c r="F234" s="9" t="s">
        <v>23</v>
      </c>
      <c r="G234" s="9" t="s">
        <v>38</v>
      </c>
      <c r="H234" s="9" t="s">
        <v>25</v>
      </c>
      <c r="I234" s="9" t="s">
        <v>70</v>
      </c>
      <c r="J234" s="9">
        <v>3</v>
      </c>
      <c r="K234" s="9">
        <v>1299</v>
      </c>
      <c r="L234" s="9">
        <v>0.15</v>
      </c>
      <c r="M234" s="9">
        <v>2793.2</v>
      </c>
      <c r="N234" s="9" t="s">
        <v>27</v>
      </c>
      <c r="O234" s="15">
        <f t="shared" si="21"/>
        <v>3897</v>
      </c>
      <c r="P234" s="20">
        <f t="shared" si="22"/>
        <v>584.54999999999995</v>
      </c>
      <c r="R234" s="25">
        <f t="shared" si="23"/>
        <v>11691</v>
      </c>
      <c r="S234" s="24">
        <f t="shared" si="24"/>
        <v>0</v>
      </c>
    </row>
    <row r="235" spans="1:19" ht="15.6" thickTop="1" thickBot="1" x14ac:dyDescent="0.35">
      <c r="A235" s="7" t="s">
        <v>466</v>
      </c>
      <c r="B235" s="14">
        <v>47090</v>
      </c>
      <c r="C235" s="14" t="str">
        <f t="shared" si="19"/>
        <v>2028</v>
      </c>
      <c r="D235" s="14" t="str">
        <f t="shared" si="20"/>
        <v>12</v>
      </c>
      <c r="E235" s="3" t="s">
        <v>37</v>
      </c>
      <c r="F235" s="3" t="s">
        <v>23</v>
      </c>
      <c r="G235" s="3" t="s">
        <v>16</v>
      </c>
      <c r="H235" s="3" t="s">
        <v>32</v>
      </c>
      <c r="I235" s="3" t="s">
        <v>97</v>
      </c>
      <c r="J235" s="3">
        <v>3</v>
      </c>
      <c r="K235" s="3">
        <v>899</v>
      </c>
      <c r="L235" s="3">
        <v>0.1</v>
      </c>
      <c r="M235" s="3">
        <v>1787.94</v>
      </c>
      <c r="N235" s="3" t="s">
        <v>19</v>
      </c>
      <c r="O235" s="15">
        <f t="shared" si="21"/>
        <v>2697</v>
      </c>
      <c r="P235" s="20">
        <f t="shared" si="22"/>
        <v>269.7</v>
      </c>
      <c r="R235" s="25">
        <f t="shared" si="23"/>
        <v>8091</v>
      </c>
      <c r="S235" s="24">
        <f t="shared" si="24"/>
        <v>0</v>
      </c>
    </row>
    <row r="236" spans="1:19" ht="15.6" thickTop="1" thickBot="1" x14ac:dyDescent="0.35">
      <c r="A236" s="8" t="s">
        <v>467</v>
      </c>
      <c r="B236" s="14">
        <v>47091</v>
      </c>
      <c r="C236" s="14" t="str">
        <f t="shared" si="19"/>
        <v>2028</v>
      </c>
      <c r="D236" s="14" t="str">
        <f t="shared" si="20"/>
        <v>12</v>
      </c>
      <c r="E236" s="9" t="s">
        <v>30</v>
      </c>
      <c r="F236" s="9" t="s">
        <v>15</v>
      </c>
      <c r="G236" s="9" t="s">
        <v>38</v>
      </c>
      <c r="H236" s="9" t="s">
        <v>39</v>
      </c>
      <c r="I236" s="9" t="s">
        <v>66</v>
      </c>
      <c r="J236" s="9">
        <v>1</v>
      </c>
      <c r="K236" s="9">
        <v>1199</v>
      </c>
      <c r="L236" s="9">
        <v>0.2</v>
      </c>
      <c r="M236" s="9">
        <v>807.89</v>
      </c>
      <c r="N236" s="9" t="s">
        <v>67</v>
      </c>
      <c r="O236" s="15">
        <f t="shared" si="21"/>
        <v>1199</v>
      </c>
      <c r="P236" s="20">
        <f t="shared" si="22"/>
        <v>239.8</v>
      </c>
      <c r="R236" s="25">
        <f t="shared" si="23"/>
        <v>1199</v>
      </c>
      <c r="S236" s="24">
        <f t="shared" si="24"/>
        <v>0</v>
      </c>
    </row>
    <row r="237" spans="1:19" ht="15.6" thickTop="1" thickBot="1" x14ac:dyDescent="0.35">
      <c r="A237" s="7" t="s">
        <v>468</v>
      </c>
      <c r="B237" s="14">
        <v>47092</v>
      </c>
      <c r="C237" s="14" t="str">
        <f t="shared" si="19"/>
        <v>2028</v>
      </c>
      <c r="D237" s="14" t="str">
        <f t="shared" si="20"/>
        <v>12</v>
      </c>
      <c r="E237" s="3" t="s">
        <v>76</v>
      </c>
      <c r="F237" s="3" t="s">
        <v>15</v>
      </c>
      <c r="G237" s="3" t="s">
        <v>59</v>
      </c>
      <c r="H237" s="3" t="s">
        <v>39</v>
      </c>
      <c r="I237" s="3" t="s">
        <v>106</v>
      </c>
      <c r="J237" s="3">
        <v>4</v>
      </c>
      <c r="K237" s="3">
        <v>999</v>
      </c>
      <c r="L237" s="3">
        <v>0.1</v>
      </c>
      <c r="M237" s="3">
        <v>2973.07</v>
      </c>
      <c r="N237" s="3" t="s">
        <v>67</v>
      </c>
      <c r="O237" s="15">
        <f t="shared" si="21"/>
        <v>3996</v>
      </c>
      <c r="P237" s="20">
        <f t="shared" si="22"/>
        <v>399.6</v>
      </c>
      <c r="R237" s="25">
        <f t="shared" si="23"/>
        <v>15984</v>
      </c>
      <c r="S237" s="24">
        <f t="shared" si="24"/>
        <v>0</v>
      </c>
    </row>
    <row r="238" spans="1:19" ht="15.6" thickTop="1" thickBot="1" x14ac:dyDescent="0.35">
      <c r="A238" s="8" t="s">
        <v>469</v>
      </c>
      <c r="B238" s="14">
        <v>47093</v>
      </c>
      <c r="C238" s="14" t="str">
        <f t="shared" si="19"/>
        <v>2028</v>
      </c>
      <c r="D238" s="14" t="str">
        <f t="shared" si="20"/>
        <v>12</v>
      </c>
      <c r="E238" s="9" t="s">
        <v>14</v>
      </c>
      <c r="F238" s="9" t="s">
        <v>15</v>
      </c>
      <c r="G238" s="9" t="s">
        <v>24</v>
      </c>
      <c r="H238" s="9" t="s">
        <v>17</v>
      </c>
      <c r="I238" s="9" t="s">
        <v>86</v>
      </c>
      <c r="J238" s="9">
        <v>1</v>
      </c>
      <c r="K238" s="9">
        <v>55</v>
      </c>
      <c r="L238" s="9">
        <v>0</v>
      </c>
      <c r="M238" s="9">
        <v>33.35</v>
      </c>
      <c r="N238" s="9" t="s">
        <v>19</v>
      </c>
      <c r="O238" s="15">
        <f t="shared" si="21"/>
        <v>55</v>
      </c>
      <c r="P238" s="20">
        <f t="shared" si="22"/>
        <v>0</v>
      </c>
      <c r="R238" s="25">
        <f t="shared" si="23"/>
        <v>55</v>
      </c>
      <c r="S238" s="24">
        <f t="shared" si="24"/>
        <v>0</v>
      </c>
    </row>
    <row r="239" spans="1:19" ht="15.6" thickTop="1" thickBot="1" x14ac:dyDescent="0.35">
      <c r="A239" s="7" t="s">
        <v>471</v>
      </c>
      <c r="B239" s="14">
        <v>47094</v>
      </c>
      <c r="C239" s="14" t="str">
        <f t="shared" si="19"/>
        <v>2028</v>
      </c>
      <c r="D239" s="14" t="str">
        <f t="shared" si="20"/>
        <v>12</v>
      </c>
      <c r="E239" s="3" t="s">
        <v>76</v>
      </c>
      <c r="F239" s="3" t="s">
        <v>15</v>
      </c>
      <c r="G239" s="3" t="s">
        <v>59</v>
      </c>
      <c r="H239" s="3" t="s">
        <v>39</v>
      </c>
      <c r="I239" s="3" t="s">
        <v>106</v>
      </c>
      <c r="J239" s="3">
        <v>5</v>
      </c>
      <c r="K239" s="3">
        <v>999</v>
      </c>
      <c r="L239" s="3">
        <v>0</v>
      </c>
      <c r="M239" s="3">
        <v>3064.64</v>
      </c>
      <c r="N239" s="3" t="s">
        <v>34</v>
      </c>
      <c r="O239" s="15">
        <f t="shared" si="21"/>
        <v>4995</v>
      </c>
      <c r="P239" s="20">
        <f t="shared" si="22"/>
        <v>0</v>
      </c>
      <c r="R239" s="25">
        <f t="shared" si="23"/>
        <v>24975</v>
      </c>
      <c r="S239" s="24">
        <f t="shared" si="24"/>
        <v>0</v>
      </c>
    </row>
    <row r="240" spans="1:19" ht="15.6" thickTop="1" thickBot="1" x14ac:dyDescent="0.35">
      <c r="A240" s="8" t="s">
        <v>473</v>
      </c>
      <c r="B240" s="14">
        <v>47095</v>
      </c>
      <c r="C240" s="14" t="str">
        <f t="shared" si="19"/>
        <v>2028</v>
      </c>
      <c r="D240" s="14" t="str">
        <f t="shared" si="20"/>
        <v>12</v>
      </c>
      <c r="E240" s="9" t="s">
        <v>73</v>
      </c>
      <c r="F240" s="9" t="s">
        <v>15</v>
      </c>
      <c r="G240" s="9" t="s">
        <v>16</v>
      </c>
      <c r="H240" s="9" t="s">
        <v>39</v>
      </c>
      <c r="I240" s="9" t="s">
        <v>66</v>
      </c>
      <c r="J240" s="9">
        <v>4</v>
      </c>
      <c r="K240" s="9">
        <v>1199</v>
      </c>
      <c r="L240" s="9">
        <v>0.2</v>
      </c>
      <c r="M240" s="9">
        <v>3100.54</v>
      </c>
      <c r="N240" s="9" t="s">
        <v>44</v>
      </c>
      <c r="O240" s="15">
        <f t="shared" si="21"/>
        <v>4796</v>
      </c>
      <c r="P240" s="20">
        <f t="shared" si="22"/>
        <v>959.2</v>
      </c>
      <c r="R240" s="25">
        <f t="shared" si="23"/>
        <v>19184</v>
      </c>
      <c r="S240" s="24">
        <f t="shared" si="24"/>
        <v>0</v>
      </c>
    </row>
    <row r="241" spans="1:19" ht="15.6" thickTop="1" thickBot="1" x14ac:dyDescent="0.35">
      <c r="A241" s="7" t="s">
        <v>475</v>
      </c>
      <c r="B241" s="14">
        <v>47096</v>
      </c>
      <c r="C241" s="14" t="str">
        <f t="shared" si="19"/>
        <v>2028</v>
      </c>
      <c r="D241" s="14" t="str">
        <f t="shared" si="20"/>
        <v>12</v>
      </c>
      <c r="E241" s="3" t="s">
        <v>73</v>
      </c>
      <c r="F241" s="3" t="s">
        <v>23</v>
      </c>
      <c r="G241" s="3" t="s">
        <v>38</v>
      </c>
      <c r="H241" s="3" t="s">
        <v>17</v>
      </c>
      <c r="I241" s="3" t="s">
        <v>113</v>
      </c>
      <c r="J241" s="3">
        <v>8</v>
      </c>
      <c r="K241" s="3">
        <v>180</v>
      </c>
      <c r="L241" s="3">
        <v>0.15</v>
      </c>
      <c r="M241" s="3">
        <v>834.6</v>
      </c>
      <c r="N241" s="3" t="s">
        <v>67</v>
      </c>
      <c r="O241" s="15">
        <f t="shared" si="21"/>
        <v>1440</v>
      </c>
      <c r="P241" s="20">
        <f t="shared" si="22"/>
        <v>216</v>
      </c>
      <c r="R241" s="25">
        <f t="shared" si="23"/>
        <v>11520</v>
      </c>
      <c r="S241" s="24">
        <f t="shared" si="24"/>
        <v>0</v>
      </c>
    </row>
    <row r="242" spans="1:19" ht="15.6" thickTop="1" thickBot="1" x14ac:dyDescent="0.35">
      <c r="A242" s="8" t="s">
        <v>476</v>
      </c>
      <c r="B242" s="14">
        <v>47097</v>
      </c>
      <c r="C242" s="14" t="str">
        <f t="shared" si="19"/>
        <v>2028</v>
      </c>
      <c r="D242" s="14" t="str">
        <f t="shared" si="20"/>
        <v>12</v>
      </c>
      <c r="E242" s="9" t="s">
        <v>30</v>
      </c>
      <c r="F242" s="9" t="s">
        <v>23</v>
      </c>
      <c r="G242" s="9" t="s">
        <v>38</v>
      </c>
      <c r="H242" s="9" t="s">
        <v>32</v>
      </c>
      <c r="I242" s="9" t="s">
        <v>103</v>
      </c>
      <c r="J242" s="9">
        <v>4</v>
      </c>
      <c r="K242" s="9">
        <v>499</v>
      </c>
      <c r="L242" s="9">
        <v>0.05</v>
      </c>
      <c r="M242" s="9">
        <v>1107.51</v>
      </c>
      <c r="N242" s="9" t="s">
        <v>19</v>
      </c>
      <c r="O242" s="15">
        <f t="shared" si="21"/>
        <v>1996</v>
      </c>
      <c r="P242" s="20">
        <f t="shared" si="22"/>
        <v>99.800000000000011</v>
      </c>
      <c r="R242" s="25">
        <f t="shared" si="23"/>
        <v>7984</v>
      </c>
      <c r="S242" s="24">
        <f t="shared" si="24"/>
        <v>0</v>
      </c>
    </row>
    <row r="243" spans="1:19" ht="15.6" thickTop="1" thickBot="1" x14ac:dyDescent="0.35">
      <c r="A243" s="7" t="s">
        <v>478</v>
      </c>
      <c r="B243" s="14">
        <v>47098</v>
      </c>
      <c r="C243" s="14" t="str">
        <f t="shared" si="19"/>
        <v>2028</v>
      </c>
      <c r="D243" s="14" t="str">
        <f t="shared" si="20"/>
        <v>12</v>
      </c>
      <c r="E243" s="3" t="s">
        <v>22</v>
      </c>
      <c r="F243" s="3" t="s">
        <v>23</v>
      </c>
      <c r="G243" s="3" t="s">
        <v>38</v>
      </c>
      <c r="H243" s="3" t="s">
        <v>39</v>
      </c>
      <c r="I243" s="3" t="s">
        <v>40</v>
      </c>
      <c r="J243" s="3">
        <v>6</v>
      </c>
      <c r="K243" s="3">
        <v>1599</v>
      </c>
      <c r="L243" s="3">
        <v>0.05</v>
      </c>
      <c r="M243" s="3">
        <v>6369.95</v>
      </c>
      <c r="N243" s="3" t="s">
        <v>34</v>
      </c>
      <c r="O243" s="15">
        <f t="shared" si="21"/>
        <v>9594</v>
      </c>
      <c r="P243" s="20">
        <f t="shared" si="22"/>
        <v>479.70000000000005</v>
      </c>
      <c r="R243" s="25">
        <f t="shared" si="23"/>
        <v>57564</v>
      </c>
      <c r="S243" s="24">
        <f t="shared" si="24"/>
        <v>0</v>
      </c>
    </row>
    <row r="244" spans="1:19" ht="15.6" thickTop="1" thickBot="1" x14ac:dyDescent="0.35">
      <c r="A244" s="8" t="s">
        <v>480</v>
      </c>
      <c r="B244" s="14">
        <v>47099</v>
      </c>
      <c r="C244" s="14" t="str">
        <f t="shared" si="19"/>
        <v>2028</v>
      </c>
      <c r="D244" s="14" t="str">
        <f t="shared" si="20"/>
        <v>12</v>
      </c>
      <c r="E244" s="9" t="s">
        <v>76</v>
      </c>
      <c r="F244" s="9" t="s">
        <v>23</v>
      </c>
      <c r="G244" s="9" t="s">
        <v>38</v>
      </c>
      <c r="H244" s="9" t="s">
        <v>32</v>
      </c>
      <c r="I244" s="9" t="s">
        <v>97</v>
      </c>
      <c r="J244" s="9">
        <v>8</v>
      </c>
      <c r="K244" s="9">
        <v>899</v>
      </c>
      <c r="L244" s="9">
        <v>0.05</v>
      </c>
      <c r="M244" s="9">
        <v>5536.63</v>
      </c>
      <c r="N244" s="9" t="s">
        <v>44</v>
      </c>
      <c r="O244" s="15">
        <f t="shared" si="21"/>
        <v>7192</v>
      </c>
      <c r="P244" s="20">
        <f t="shared" si="22"/>
        <v>359.6</v>
      </c>
      <c r="R244" s="25">
        <f t="shared" si="23"/>
        <v>57536</v>
      </c>
      <c r="S244" s="24">
        <f t="shared" si="24"/>
        <v>0</v>
      </c>
    </row>
    <row r="245" spans="1:19" ht="15.6" thickTop="1" thickBot="1" x14ac:dyDescent="0.35">
      <c r="A245" s="7" t="s">
        <v>481</v>
      </c>
      <c r="B245" s="14">
        <v>47100</v>
      </c>
      <c r="C245" s="14" t="str">
        <f t="shared" si="19"/>
        <v>2028</v>
      </c>
      <c r="D245" s="14" t="str">
        <f t="shared" si="20"/>
        <v>12</v>
      </c>
      <c r="E245" s="3" t="s">
        <v>82</v>
      </c>
      <c r="F245" s="3" t="s">
        <v>23</v>
      </c>
      <c r="G245" s="3" t="s">
        <v>31</v>
      </c>
      <c r="H245" s="3" t="s">
        <v>25</v>
      </c>
      <c r="I245" s="3" t="s">
        <v>70</v>
      </c>
      <c r="J245" s="3">
        <v>1</v>
      </c>
      <c r="K245" s="3">
        <v>1299</v>
      </c>
      <c r="L245" s="3">
        <v>0</v>
      </c>
      <c r="M245" s="3">
        <v>1082.79</v>
      </c>
      <c r="N245" s="3" t="s">
        <v>27</v>
      </c>
      <c r="O245" s="15">
        <f t="shared" si="21"/>
        <v>1299</v>
      </c>
      <c r="P245" s="20">
        <f t="shared" si="22"/>
        <v>0</v>
      </c>
      <c r="R245" s="25">
        <f t="shared" si="23"/>
        <v>1299</v>
      </c>
      <c r="S245" s="24">
        <f t="shared" si="24"/>
        <v>0</v>
      </c>
    </row>
    <row r="246" spans="1:19" ht="15.6" thickTop="1" thickBot="1" x14ac:dyDescent="0.35">
      <c r="A246" s="8" t="s">
        <v>483</v>
      </c>
      <c r="B246" s="14">
        <v>47101</v>
      </c>
      <c r="C246" s="14" t="str">
        <f t="shared" si="19"/>
        <v>2028</v>
      </c>
      <c r="D246" s="14" t="str">
        <f t="shared" si="20"/>
        <v>12</v>
      </c>
      <c r="E246" s="9" t="s">
        <v>37</v>
      </c>
      <c r="F246" s="9" t="s">
        <v>15</v>
      </c>
      <c r="G246" s="9" t="s">
        <v>16</v>
      </c>
      <c r="H246" s="9" t="s">
        <v>39</v>
      </c>
      <c r="I246" s="9" t="s">
        <v>48</v>
      </c>
      <c r="J246" s="9">
        <v>3</v>
      </c>
      <c r="K246" s="9">
        <v>799</v>
      </c>
      <c r="L246" s="9">
        <v>0</v>
      </c>
      <c r="M246" s="9">
        <v>1475.63</v>
      </c>
      <c r="N246" s="9" t="s">
        <v>67</v>
      </c>
      <c r="O246" s="15">
        <f t="shared" si="21"/>
        <v>2397</v>
      </c>
      <c r="P246" s="20">
        <f t="shared" si="22"/>
        <v>0</v>
      </c>
      <c r="R246" s="25">
        <f t="shared" si="23"/>
        <v>7191</v>
      </c>
      <c r="S246" s="24">
        <f t="shared" si="24"/>
        <v>0</v>
      </c>
    </row>
    <row r="247" spans="1:19" ht="15.6" thickTop="1" thickBot="1" x14ac:dyDescent="0.35">
      <c r="A247" s="7" t="s">
        <v>484</v>
      </c>
      <c r="B247" s="14">
        <v>47102</v>
      </c>
      <c r="C247" s="14" t="str">
        <f t="shared" si="19"/>
        <v>2028</v>
      </c>
      <c r="D247" s="14" t="str">
        <f t="shared" si="20"/>
        <v>12</v>
      </c>
      <c r="E247" s="3" t="s">
        <v>92</v>
      </c>
      <c r="F247" s="3" t="s">
        <v>23</v>
      </c>
      <c r="G247" s="3" t="s">
        <v>16</v>
      </c>
      <c r="H247" s="3" t="s">
        <v>32</v>
      </c>
      <c r="I247" s="3" t="s">
        <v>103</v>
      </c>
      <c r="J247" s="3">
        <v>1</v>
      </c>
      <c r="K247" s="3">
        <v>499</v>
      </c>
      <c r="L247" s="3">
        <v>0.2</v>
      </c>
      <c r="M247" s="3">
        <v>357.03</v>
      </c>
      <c r="N247" s="3" t="s">
        <v>27</v>
      </c>
      <c r="O247" s="15">
        <f t="shared" si="21"/>
        <v>499</v>
      </c>
      <c r="P247" s="20">
        <f t="shared" si="22"/>
        <v>99.800000000000011</v>
      </c>
      <c r="R247" s="25">
        <f t="shared" si="23"/>
        <v>499</v>
      </c>
      <c r="S247" s="24">
        <f t="shared" si="24"/>
        <v>0</v>
      </c>
    </row>
    <row r="248" spans="1:19" ht="15.6" thickTop="1" thickBot="1" x14ac:dyDescent="0.35">
      <c r="A248" s="8" t="s">
        <v>485</v>
      </c>
      <c r="B248" s="14">
        <v>47103</v>
      </c>
      <c r="C248" s="14" t="str">
        <f t="shared" si="19"/>
        <v>2028</v>
      </c>
      <c r="D248" s="14" t="str">
        <f t="shared" si="20"/>
        <v>12</v>
      </c>
      <c r="E248" s="9" t="s">
        <v>76</v>
      </c>
      <c r="F248" s="9" t="s">
        <v>23</v>
      </c>
      <c r="G248" s="9" t="s">
        <v>47</v>
      </c>
      <c r="H248" s="9" t="s">
        <v>17</v>
      </c>
      <c r="I248" s="9" t="s">
        <v>89</v>
      </c>
      <c r="J248" s="9">
        <v>7</v>
      </c>
      <c r="K248" s="9">
        <v>650</v>
      </c>
      <c r="L248" s="9">
        <v>0.05</v>
      </c>
      <c r="M248" s="9">
        <v>2648.58</v>
      </c>
      <c r="N248" s="9" t="s">
        <v>27</v>
      </c>
      <c r="O248" s="15">
        <f t="shared" si="21"/>
        <v>4550</v>
      </c>
      <c r="P248" s="20">
        <f t="shared" si="22"/>
        <v>227.5</v>
      </c>
      <c r="R248" s="25">
        <f t="shared" si="23"/>
        <v>31850</v>
      </c>
      <c r="S248" s="24">
        <f t="shared" si="24"/>
        <v>0</v>
      </c>
    </row>
    <row r="249" spans="1:19" ht="15.6" thickTop="1" thickBot="1" x14ac:dyDescent="0.35">
      <c r="A249" s="7" t="s">
        <v>487</v>
      </c>
      <c r="B249" s="14">
        <v>47104</v>
      </c>
      <c r="C249" s="14" t="str">
        <f t="shared" si="19"/>
        <v>2028</v>
      </c>
      <c r="D249" s="14" t="str">
        <f t="shared" si="20"/>
        <v>12</v>
      </c>
      <c r="E249" s="3" t="s">
        <v>82</v>
      </c>
      <c r="F249" s="3" t="s">
        <v>15</v>
      </c>
      <c r="G249" s="3" t="s">
        <v>31</v>
      </c>
      <c r="H249" s="3" t="s">
        <v>17</v>
      </c>
      <c r="I249" s="3" t="s">
        <v>113</v>
      </c>
      <c r="J249" s="3">
        <v>5</v>
      </c>
      <c r="K249" s="3">
        <v>180</v>
      </c>
      <c r="L249" s="3">
        <v>0.15</v>
      </c>
      <c r="M249" s="3">
        <v>516.34</v>
      </c>
      <c r="N249" s="3" t="s">
        <v>67</v>
      </c>
      <c r="O249" s="15">
        <f t="shared" si="21"/>
        <v>900</v>
      </c>
      <c r="P249" s="20">
        <f t="shared" si="22"/>
        <v>135</v>
      </c>
      <c r="R249" s="25">
        <f t="shared" si="23"/>
        <v>4500</v>
      </c>
      <c r="S249" s="24">
        <f t="shared" si="24"/>
        <v>0</v>
      </c>
    </row>
    <row r="250" spans="1:19" ht="15.6" thickTop="1" thickBot="1" x14ac:dyDescent="0.35">
      <c r="A250" s="8" t="s">
        <v>488</v>
      </c>
      <c r="B250" s="14">
        <v>47105</v>
      </c>
      <c r="C250" s="14" t="str">
        <f t="shared" si="19"/>
        <v>2028</v>
      </c>
      <c r="D250" s="14" t="str">
        <f t="shared" si="20"/>
        <v>12</v>
      </c>
      <c r="E250" s="9" t="s">
        <v>22</v>
      </c>
      <c r="F250" s="9" t="s">
        <v>15</v>
      </c>
      <c r="G250" s="9" t="s">
        <v>16</v>
      </c>
      <c r="H250" s="9" t="s">
        <v>39</v>
      </c>
      <c r="I250" s="9" t="s">
        <v>106</v>
      </c>
      <c r="J250" s="9">
        <v>2</v>
      </c>
      <c r="K250" s="9">
        <v>999</v>
      </c>
      <c r="L250" s="9">
        <v>0</v>
      </c>
      <c r="M250" s="9">
        <v>1154.94</v>
      </c>
      <c r="N250" s="9" t="s">
        <v>67</v>
      </c>
      <c r="O250" s="15">
        <f t="shared" si="21"/>
        <v>1998</v>
      </c>
      <c r="P250" s="20">
        <f t="shared" si="22"/>
        <v>0</v>
      </c>
      <c r="R250" s="25">
        <f t="shared" si="23"/>
        <v>3996</v>
      </c>
      <c r="S250" s="24">
        <f t="shared" si="24"/>
        <v>0</v>
      </c>
    </row>
    <row r="251" spans="1:19" ht="15.6" thickTop="1" thickBot="1" x14ac:dyDescent="0.35">
      <c r="A251" s="7" t="s">
        <v>490</v>
      </c>
      <c r="B251" s="14">
        <v>47106</v>
      </c>
      <c r="C251" s="14" t="str">
        <f t="shared" si="19"/>
        <v>2028</v>
      </c>
      <c r="D251" s="14" t="str">
        <f t="shared" si="20"/>
        <v>12</v>
      </c>
      <c r="E251" s="3" t="s">
        <v>76</v>
      </c>
      <c r="F251" s="3" t="s">
        <v>23</v>
      </c>
      <c r="G251" s="3" t="s">
        <v>24</v>
      </c>
      <c r="H251" s="3" t="s">
        <v>25</v>
      </c>
      <c r="I251" s="3" t="s">
        <v>79</v>
      </c>
      <c r="J251" s="3">
        <v>2</v>
      </c>
      <c r="K251" s="3">
        <v>899</v>
      </c>
      <c r="L251" s="3">
        <v>0.15</v>
      </c>
      <c r="M251" s="3">
        <v>1444.87</v>
      </c>
      <c r="N251" s="3" t="s">
        <v>44</v>
      </c>
      <c r="O251" s="15">
        <f t="shared" si="21"/>
        <v>1798</v>
      </c>
      <c r="P251" s="20">
        <f t="shared" si="22"/>
        <v>269.7</v>
      </c>
      <c r="R251" s="25">
        <f t="shared" si="23"/>
        <v>3596</v>
      </c>
      <c r="S251" s="24">
        <f t="shared" si="24"/>
        <v>0</v>
      </c>
    </row>
    <row r="252" spans="1:19" ht="15.6" thickTop="1" thickBot="1" x14ac:dyDescent="0.35">
      <c r="A252" s="8" t="s">
        <v>492</v>
      </c>
      <c r="B252" s="14">
        <v>47107</v>
      </c>
      <c r="C252" s="14" t="str">
        <f t="shared" si="19"/>
        <v>2028</v>
      </c>
      <c r="D252" s="14" t="str">
        <f t="shared" si="20"/>
        <v>12</v>
      </c>
      <c r="E252" s="9" t="s">
        <v>14</v>
      </c>
      <c r="F252" s="9" t="s">
        <v>15</v>
      </c>
      <c r="G252" s="9" t="s">
        <v>31</v>
      </c>
      <c r="H252" s="9" t="s">
        <v>39</v>
      </c>
      <c r="I252" s="9" t="s">
        <v>210</v>
      </c>
      <c r="J252" s="9">
        <v>8</v>
      </c>
      <c r="K252" s="9">
        <v>1999</v>
      </c>
      <c r="L252" s="9">
        <v>0.1</v>
      </c>
      <c r="M252" s="9">
        <v>9018.99</v>
      </c>
      <c r="N252" s="9" t="s">
        <v>27</v>
      </c>
      <c r="O252" s="15">
        <f t="shared" si="21"/>
        <v>15992</v>
      </c>
      <c r="P252" s="20">
        <f t="shared" si="22"/>
        <v>1599.2</v>
      </c>
      <c r="R252" s="25">
        <f t="shared" si="23"/>
        <v>127936</v>
      </c>
      <c r="S252" s="24">
        <f t="shared" si="24"/>
        <v>0</v>
      </c>
    </row>
    <row r="253" spans="1:19" ht="15.6" thickTop="1" thickBot="1" x14ac:dyDescent="0.35">
      <c r="A253" s="7" t="s">
        <v>494</v>
      </c>
      <c r="B253" s="14">
        <v>47108</v>
      </c>
      <c r="C253" s="14" t="str">
        <f t="shared" si="19"/>
        <v>2028</v>
      </c>
      <c r="D253" s="14" t="str">
        <f t="shared" si="20"/>
        <v>12</v>
      </c>
      <c r="E253" s="3" t="s">
        <v>63</v>
      </c>
      <c r="F253" s="3" t="s">
        <v>15</v>
      </c>
      <c r="G253" s="3" t="s">
        <v>31</v>
      </c>
      <c r="H253" s="3" t="s">
        <v>17</v>
      </c>
      <c r="I253" s="3" t="s">
        <v>89</v>
      </c>
      <c r="J253" s="3">
        <v>4</v>
      </c>
      <c r="K253" s="3">
        <v>650</v>
      </c>
      <c r="L253" s="3">
        <v>0.2</v>
      </c>
      <c r="M253" s="3">
        <v>1542.47</v>
      </c>
      <c r="N253" s="3" t="s">
        <v>67</v>
      </c>
      <c r="O253" s="15">
        <f t="shared" si="21"/>
        <v>2600</v>
      </c>
      <c r="P253" s="20">
        <f t="shared" si="22"/>
        <v>520</v>
      </c>
      <c r="R253" s="25">
        <f t="shared" si="23"/>
        <v>10400</v>
      </c>
      <c r="S253" s="24">
        <f t="shared" si="24"/>
        <v>0</v>
      </c>
    </row>
    <row r="254" spans="1:19" ht="15.6" thickTop="1" thickBot="1" x14ac:dyDescent="0.35">
      <c r="A254" s="8" t="s">
        <v>495</v>
      </c>
      <c r="B254" s="14">
        <v>47109</v>
      </c>
      <c r="C254" s="14" t="str">
        <f t="shared" si="19"/>
        <v>2028</v>
      </c>
      <c r="D254" s="14" t="str">
        <f t="shared" si="20"/>
        <v>12</v>
      </c>
      <c r="E254" s="9" t="s">
        <v>63</v>
      </c>
      <c r="F254" s="9" t="s">
        <v>15</v>
      </c>
      <c r="G254" s="9" t="s">
        <v>47</v>
      </c>
      <c r="H254" s="9" t="s">
        <v>39</v>
      </c>
      <c r="I254" s="9" t="s">
        <v>210</v>
      </c>
      <c r="J254" s="9">
        <v>7</v>
      </c>
      <c r="K254" s="9">
        <v>1999</v>
      </c>
      <c r="L254" s="9">
        <v>0.2</v>
      </c>
      <c r="M254" s="9">
        <v>9088.7199999999993</v>
      </c>
      <c r="N254" s="9" t="s">
        <v>34</v>
      </c>
      <c r="O254" s="15">
        <f t="shared" si="21"/>
        <v>13993</v>
      </c>
      <c r="P254" s="20">
        <f t="shared" si="22"/>
        <v>2798.6000000000004</v>
      </c>
      <c r="R254" s="25">
        <f t="shared" si="23"/>
        <v>97951</v>
      </c>
      <c r="S254" s="24">
        <f t="shared" si="24"/>
        <v>0</v>
      </c>
    </row>
    <row r="255" spans="1:19" ht="15.6" thickTop="1" thickBot="1" x14ac:dyDescent="0.35">
      <c r="A255" s="7" t="s">
        <v>496</v>
      </c>
      <c r="B255" s="14">
        <v>47110</v>
      </c>
      <c r="C255" s="14" t="str">
        <f t="shared" si="19"/>
        <v>2028</v>
      </c>
      <c r="D255" s="14" t="str">
        <f t="shared" si="20"/>
        <v>12</v>
      </c>
      <c r="E255" s="3" t="s">
        <v>14</v>
      </c>
      <c r="F255" s="3" t="s">
        <v>23</v>
      </c>
      <c r="G255" s="3" t="s">
        <v>24</v>
      </c>
      <c r="H255" s="3" t="s">
        <v>25</v>
      </c>
      <c r="I255" s="3" t="s">
        <v>250</v>
      </c>
      <c r="J255" s="3">
        <v>4</v>
      </c>
      <c r="K255" s="3">
        <v>299</v>
      </c>
      <c r="L255" s="3">
        <v>0</v>
      </c>
      <c r="M255" s="3">
        <v>780</v>
      </c>
      <c r="N255" s="3" t="s">
        <v>19</v>
      </c>
      <c r="O255" s="15">
        <f t="shared" si="21"/>
        <v>1196</v>
      </c>
      <c r="P255" s="20">
        <f t="shared" si="22"/>
        <v>0</v>
      </c>
      <c r="R255" s="25">
        <f t="shared" si="23"/>
        <v>4784</v>
      </c>
      <c r="S255" s="24">
        <f t="shared" si="24"/>
        <v>0</v>
      </c>
    </row>
    <row r="256" spans="1:19" ht="15.6" thickTop="1" thickBot="1" x14ac:dyDescent="0.35">
      <c r="A256" s="8" t="s">
        <v>497</v>
      </c>
      <c r="B256" s="14">
        <v>47111</v>
      </c>
      <c r="C256" s="14" t="str">
        <f t="shared" si="19"/>
        <v>2028</v>
      </c>
      <c r="D256" s="14" t="str">
        <f t="shared" si="20"/>
        <v>12</v>
      </c>
      <c r="E256" s="9" t="s">
        <v>37</v>
      </c>
      <c r="F256" s="9" t="s">
        <v>23</v>
      </c>
      <c r="G256" s="9" t="s">
        <v>24</v>
      </c>
      <c r="H256" s="9" t="s">
        <v>17</v>
      </c>
      <c r="I256" s="9" t="s">
        <v>86</v>
      </c>
      <c r="J256" s="9">
        <v>8</v>
      </c>
      <c r="K256" s="9">
        <v>55</v>
      </c>
      <c r="L256" s="9">
        <v>0.05</v>
      </c>
      <c r="M256" s="9">
        <v>288.97000000000003</v>
      </c>
      <c r="N256" s="9" t="s">
        <v>67</v>
      </c>
      <c r="O256" s="15">
        <f t="shared" si="21"/>
        <v>440</v>
      </c>
      <c r="P256" s="20">
        <f t="shared" si="22"/>
        <v>22</v>
      </c>
      <c r="R256" s="25">
        <f t="shared" si="23"/>
        <v>3520</v>
      </c>
      <c r="S256" s="24">
        <f t="shared" si="24"/>
        <v>0</v>
      </c>
    </row>
    <row r="257" spans="1:19" ht="15.6" thickTop="1" thickBot="1" x14ac:dyDescent="0.35">
      <c r="A257" s="7" t="s">
        <v>499</v>
      </c>
      <c r="B257" s="14">
        <v>47112</v>
      </c>
      <c r="C257" s="14" t="str">
        <f t="shared" si="19"/>
        <v>2028</v>
      </c>
      <c r="D257" s="14" t="str">
        <f t="shared" si="20"/>
        <v>12</v>
      </c>
      <c r="E257" s="3" t="s">
        <v>82</v>
      </c>
      <c r="F257" s="3" t="s">
        <v>23</v>
      </c>
      <c r="G257" s="3" t="s">
        <v>24</v>
      </c>
      <c r="H257" s="3" t="s">
        <v>17</v>
      </c>
      <c r="I257" s="3" t="s">
        <v>18</v>
      </c>
      <c r="J257" s="3">
        <v>2</v>
      </c>
      <c r="K257" s="3">
        <v>420</v>
      </c>
      <c r="L257" s="3">
        <v>0</v>
      </c>
      <c r="M257" s="3">
        <v>529.53</v>
      </c>
      <c r="N257" s="3" t="s">
        <v>67</v>
      </c>
      <c r="O257" s="15">
        <f t="shared" si="21"/>
        <v>840</v>
      </c>
      <c r="P257" s="20">
        <f t="shared" si="22"/>
        <v>0</v>
      </c>
      <c r="R257" s="25">
        <f t="shared" si="23"/>
        <v>1680</v>
      </c>
      <c r="S257" s="24">
        <f t="shared" si="24"/>
        <v>0</v>
      </c>
    </row>
    <row r="258" spans="1:19" ht="15.6" thickTop="1" thickBot="1" x14ac:dyDescent="0.35">
      <c r="A258" s="8" t="s">
        <v>501</v>
      </c>
      <c r="B258" s="14">
        <v>47113</v>
      </c>
      <c r="C258" s="14" t="str">
        <f t="shared" si="19"/>
        <v>2028</v>
      </c>
      <c r="D258" s="14" t="str">
        <f t="shared" si="20"/>
        <v>12</v>
      </c>
      <c r="E258" s="9" t="s">
        <v>82</v>
      </c>
      <c r="F258" s="9" t="s">
        <v>23</v>
      </c>
      <c r="G258" s="9" t="s">
        <v>38</v>
      </c>
      <c r="H258" s="9" t="s">
        <v>17</v>
      </c>
      <c r="I258" s="9" t="s">
        <v>89</v>
      </c>
      <c r="J258" s="9">
        <v>2</v>
      </c>
      <c r="K258" s="9">
        <v>650</v>
      </c>
      <c r="L258" s="9">
        <v>0</v>
      </c>
      <c r="M258" s="9">
        <v>1082.75</v>
      </c>
      <c r="N258" s="9" t="s">
        <v>67</v>
      </c>
      <c r="O258" s="15">
        <f t="shared" si="21"/>
        <v>1300</v>
      </c>
      <c r="P258" s="20">
        <f t="shared" si="22"/>
        <v>0</v>
      </c>
      <c r="R258" s="25">
        <f t="shared" si="23"/>
        <v>2600</v>
      </c>
      <c r="S258" s="24">
        <f t="shared" si="24"/>
        <v>0</v>
      </c>
    </row>
    <row r="259" spans="1:19" ht="15.6" thickTop="1" thickBot="1" x14ac:dyDescent="0.35">
      <c r="A259" s="7" t="s">
        <v>503</v>
      </c>
      <c r="B259" s="14">
        <v>47114</v>
      </c>
      <c r="C259" s="14" t="str">
        <f t="shared" ref="C259:C322" si="25">TEXT(B259,"YYYY")</f>
        <v>2028</v>
      </c>
      <c r="D259" s="14" t="str">
        <f t="shared" ref="D259:D322" si="26">TEXT(B259,"MM")</f>
        <v>12</v>
      </c>
      <c r="E259" s="3" t="s">
        <v>63</v>
      </c>
      <c r="F259" s="3" t="s">
        <v>15</v>
      </c>
      <c r="G259" s="3" t="s">
        <v>31</v>
      </c>
      <c r="H259" s="3" t="s">
        <v>25</v>
      </c>
      <c r="I259" s="3" t="s">
        <v>79</v>
      </c>
      <c r="J259" s="3">
        <v>7</v>
      </c>
      <c r="K259" s="3">
        <v>899</v>
      </c>
      <c r="L259" s="3">
        <v>0.15</v>
      </c>
      <c r="M259" s="3">
        <v>4512.68</v>
      </c>
      <c r="N259" s="3" t="s">
        <v>19</v>
      </c>
      <c r="O259" s="15">
        <f t="shared" ref="O259:O322" si="27">J259*K259</f>
        <v>6293</v>
      </c>
      <c r="P259" s="20">
        <f t="shared" ref="P259:P322" si="28">O259*L259</f>
        <v>943.94999999999993</v>
      </c>
      <c r="R259" s="25">
        <f t="shared" ref="R259:R322" si="29">J259*(O259)</f>
        <v>44051</v>
      </c>
      <c r="S259" s="24">
        <f t="shared" ref="S259:S322" si="30">IFERROR(R259 / Q259,0)</f>
        <v>0</v>
      </c>
    </row>
    <row r="260" spans="1:19" ht="15.6" thickTop="1" thickBot="1" x14ac:dyDescent="0.35">
      <c r="A260" s="8" t="s">
        <v>505</v>
      </c>
      <c r="B260" s="14">
        <v>47115</v>
      </c>
      <c r="C260" s="14" t="str">
        <f t="shared" si="25"/>
        <v>2028</v>
      </c>
      <c r="D260" s="14" t="str">
        <f t="shared" si="26"/>
        <v>12</v>
      </c>
      <c r="E260" s="9" t="s">
        <v>14</v>
      </c>
      <c r="F260" s="9" t="s">
        <v>15</v>
      </c>
      <c r="G260" s="9" t="s">
        <v>24</v>
      </c>
      <c r="H260" s="9" t="s">
        <v>17</v>
      </c>
      <c r="I260" s="9" t="s">
        <v>74</v>
      </c>
      <c r="J260" s="9">
        <v>2</v>
      </c>
      <c r="K260" s="9">
        <v>240</v>
      </c>
      <c r="L260" s="9">
        <v>0.2</v>
      </c>
      <c r="M260" s="9">
        <v>350.12</v>
      </c>
      <c r="N260" s="9" t="s">
        <v>44</v>
      </c>
      <c r="O260" s="15">
        <f t="shared" si="27"/>
        <v>480</v>
      </c>
      <c r="P260" s="20">
        <f t="shared" si="28"/>
        <v>96</v>
      </c>
      <c r="R260" s="25">
        <f t="shared" si="29"/>
        <v>960</v>
      </c>
      <c r="S260" s="24">
        <f t="shared" si="30"/>
        <v>0</v>
      </c>
    </row>
    <row r="261" spans="1:19" ht="15.6" thickTop="1" thickBot="1" x14ac:dyDescent="0.35">
      <c r="A261" s="7" t="s">
        <v>507</v>
      </c>
      <c r="B261" s="14">
        <v>47116</v>
      </c>
      <c r="C261" s="14" t="str">
        <f t="shared" si="25"/>
        <v>2028</v>
      </c>
      <c r="D261" s="14" t="str">
        <f t="shared" si="26"/>
        <v>12</v>
      </c>
      <c r="E261" s="3" t="s">
        <v>92</v>
      </c>
      <c r="F261" s="3" t="s">
        <v>23</v>
      </c>
      <c r="G261" s="3" t="s">
        <v>59</v>
      </c>
      <c r="H261" s="3" t="s">
        <v>32</v>
      </c>
      <c r="I261" s="3" t="s">
        <v>103</v>
      </c>
      <c r="J261" s="3">
        <v>4</v>
      </c>
      <c r="K261" s="3">
        <v>499</v>
      </c>
      <c r="L261" s="3">
        <v>0.2</v>
      </c>
      <c r="M261" s="3">
        <v>1409.84</v>
      </c>
      <c r="N261" s="3" t="s">
        <v>67</v>
      </c>
      <c r="O261" s="15">
        <f t="shared" si="27"/>
        <v>1996</v>
      </c>
      <c r="P261" s="20">
        <f t="shared" si="28"/>
        <v>399.20000000000005</v>
      </c>
      <c r="R261" s="25">
        <f t="shared" si="29"/>
        <v>7984</v>
      </c>
      <c r="S261" s="24">
        <f t="shared" si="30"/>
        <v>0</v>
      </c>
    </row>
    <row r="262" spans="1:19" ht="15.6" thickTop="1" thickBot="1" x14ac:dyDescent="0.35">
      <c r="A262" s="8" t="s">
        <v>509</v>
      </c>
      <c r="B262" s="14">
        <v>47117</v>
      </c>
      <c r="C262" s="14" t="str">
        <f t="shared" si="25"/>
        <v>2028</v>
      </c>
      <c r="D262" s="14" t="str">
        <f t="shared" si="26"/>
        <v>12</v>
      </c>
      <c r="E262" s="9" t="s">
        <v>82</v>
      </c>
      <c r="F262" s="9" t="s">
        <v>23</v>
      </c>
      <c r="G262" s="9" t="s">
        <v>38</v>
      </c>
      <c r="H262" s="9" t="s">
        <v>17</v>
      </c>
      <c r="I262" s="9" t="s">
        <v>86</v>
      </c>
      <c r="J262" s="9">
        <v>3</v>
      </c>
      <c r="K262" s="9">
        <v>55</v>
      </c>
      <c r="L262" s="9">
        <v>0</v>
      </c>
      <c r="M262" s="9">
        <v>99.03</v>
      </c>
      <c r="N262" s="9" t="s">
        <v>44</v>
      </c>
      <c r="O262" s="15">
        <f t="shared" si="27"/>
        <v>165</v>
      </c>
      <c r="P262" s="20">
        <f t="shared" si="28"/>
        <v>0</v>
      </c>
      <c r="R262" s="25">
        <f t="shared" si="29"/>
        <v>495</v>
      </c>
      <c r="S262" s="24">
        <f t="shared" si="30"/>
        <v>0</v>
      </c>
    </row>
    <row r="263" spans="1:19" ht="15.6" thickTop="1" thickBot="1" x14ac:dyDescent="0.35">
      <c r="A263" s="7" t="s">
        <v>510</v>
      </c>
      <c r="B263" s="14">
        <v>47118</v>
      </c>
      <c r="C263" s="14" t="str">
        <f t="shared" si="25"/>
        <v>2028</v>
      </c>
      <c r="D263" s="14" t="str">
        <f t="shared" si="26"/>
        <v>12</v>
      </c>
      <c r="E263" s="3" t="s">
        <v>63</v>
      </c>
      <c r="F263" s="3" t="s">
        <v>23</v>
      </c>
      <c r="G263" s="3" t="s">
        <v>24</v>
      </c>
      <c r="H263" s="3" t="s">
        <v>17</v>
      </c>
      <c r="I263" s="3" t="s">
        <v>113</v>
      </c>
      <c r="J263" s="3">
        <v>4</v>
      </c>
      <c r="K263" s="3">
        <v>180</v>
      </c>
      <c r="L263" s="3">
        <v>0.15</v>
      </c>
      <c r="M263" s="3">
        <v>524.26</v>
      </c>
      <c r="N263" s="3" t="s">
        <v>34</v>
      </c>
      <c r="O263" s="15">
        <f t="shared" si="27"/>
        <v>720</v>
      </c>
      <c r="P263" s="20">
        <f t="shared" si="28"/>
        <v>108</v>
      </c>
      <c r="R263" s="25">
        <f t="shared" si="29"/>
        <v>2880</v>
      </c>
      <c r="S263" s="24">
        <f t="shared" si="30"/>
        <v>0</v>
      </c>
    </row>
    <row r="264" spans="1:19" ht="15.6" thickTop="1" thickBot="1" x14ac:dyDescent="0.35">
      <c r="A264" s="8" t="s">
        <v>512</v>
      </c>
      <c r="B264" s="14">
        <v>47119</v>
      </c>
      <c r="C264" s="14" t="str">
        <f t="shared" si="25"/>
        <v>2029</v>
      </c>
      <c r="D264" s="14" t="str">
        <f t="shared" si="26"/>
        <v>01</v>
      </c>
      <c r="E264" s="9" t="s">
        <v>14</v>
      </c>
      <c r="F264" s="9" t="s">
        <v>15</v>
      </c>
      <c r="G264" s="9" t="s">
        <v>38</v>
      </c>
      <c r="H264" s="9" t="s">
        <v>25</v>
      </c>
      <c r="I264" s="9" t="s">
        <v>250</v>
      </c>
      <c r="J264" s="9">
        <v>6</v>
      </c>
      <c r="K264" s="9">
        <v>299</v>
      </c>
      <c r="L264" s="9">
        <v>0.2</v>
      </c>
      <c r="M264" s="9">
        <v>1191.1600000000001</v>
      </c>
      <c r="N264" s="9" t="s">
        <v>44</v>
      </c>
      <c r="O264" s="15">
        <f t="shared" si="27"/>
        <v>1794</v>
      </c>
      <c r="P264" s="20">
        <f t="shared" si="28"/>
        <v>358.8</v>
      </c>
      <c r="R264" s="25">
        <f t="shared" si="29"/>
        <v>10764</v>
      </c>
      <c r="S264" s="24">
        <f t="shared" si="30"/>
        <v>0</v>
      </c>
    </row>
    <row r="265" spans="1:19" ht="15.6" thickTop="1" thickBot="1" x14ac:dyDescent="0.35">
      <c r="A265" s="7" t="s">
        <v>514</v>
      </c>
      <c r="B265" s="14">
        <v>47120</v>
      </c>
      <c r="C265" s="14" t="str">
        <f t="shared" si="25"/>
        <v>2029</v>
      </c>
      <c r="D265" s="14" t="str">
        <f t="shared" si="26"/>
        <v>01</v>
      </c>
      <c r="E265" s="3" t="s">
        <v>43</v>
      </c>
      <c r="F265" s="3" t="s">
        <v>23</v>
      </c>
      <c r="G265" s="3" t="s">
        <v>16</v>
      </c>
      <c r="H265" s="3" t="s">
        <v>39</v>
      </c>
      <c r="I265" s="3" t="s">
        <v>106</v>
      </c>
      <c r="J265" s="3">
        <v>6</v>
      </c>
      <c r="K265" s="3">
        <v>999</v>
      </c>
      <c r="L265" s="3">
        <v>0.2</v>
      </c>
      <c r="M265" s="3">
        <v>5000.1000000000004</v>
      </c>
      <c r="N265" s="3" t="s">
        <v>34</v>
      </c>
      <c r="O265" s="15">
        <f t="shared" si="27"/>
        <v>5994</v>
      </c>
      <c r="P265" s="20">
        <f t="shared" si="28"/>
        <v>1198.8</v>
      </c>
      <c r="R265" s="25">
        <f t="shared" si="29"/>
        <v>35964</v>
      </c>
      <c r="S265" s="24">
        <f t="shared" si="30"/>
        <v>0</v>
      </c>
    </row>
    <row r="266" spans="1:19" ht="15.6" thickTop="1" thickBot="1" x14ac:dyDescent="0.35">
      <c r="A266" s="8" t="s">
        <v>516</v>
      </c>
      <c r="B266" s="14">
        <v>47121</v>
      </c>
      <c r="C266" s="14" t="str">
        <f t="shared" si="25"/>
        <v>2029</v>
      </c>
      <c r="D266" s="14" t="str">
        <f t="shared" si="26"/>
        <v>01</v>
      </c>
      <c r="E266" s="9" t="s">
        <v>43</v>
      </c>
      <c r="F266" s="9" t="s">
        <v>15</v>
      </c>
      <c r="G266" s="9" t="s">
        <v>59</v>
      </c>
      <c r="H266" s="9" t="s">
        <v>17</v>
      </c>
      <c r="I266" s="9" t="s">
        <v>113</v>
      </c>
      <c r="J266" s="9">
        <v>8</v>
      </c>
      <c r="K266" s="9">
        <v>180</v>
      </c>
      <c r="L266" s="9">
        <v>0.2</v>
      </c>
      <c r="M266" s="9">
        <v>1129.81</v>
      </c>
      <c r="N266" s="9" t="s">
        <v>44</v>
      </c>
      <c r="O266" s="15">
        <f t="shared" si="27"/>
        <v>1440</v>
      </c>
      <c r="P266" s="20">
        <f t="shared" si="28"/>
        <v>288</v>
      </c>
      <c r="R266" s="25">
        <f t="shared" si="29"/>
        <v>11520</v>
      </c>
      <c r="S266" s="24">
        <f t="shared" si="30"/>
        <v>0</v>
      </c>
    </row>
    <row r="267" spans="1:19" ht="15.6" thickTop="1" thickBot="1" x14ac:dyDescent="0.35">
      <c r="A267" s="7" t="s">
        <v>518</v>
      </c>
      <c r="B267" s="14">
        <v>47122</v>
      </c>
      <c r="C267" s="14" t="str">
        <f t="shared" si="25"/>
        <v>2029</v>
      </c>
      <c r="D267" s="14" t="str">
        <f t="shared" si="26"/>
        <v>01</v>
      </c>
      <c r="E267" s="3" t="s">
        <v>63</v>
      </c>
      <c r="F267" s="3" t="s">
        <v>23</v>
      </c>
      <c r="G267" s="3" t="s">
        <v>38</v>
      </c>
      <c r="H267" s="3" t="s">
        <v>25</v>
      </c>
      <c r="I267" s="3" t="s">
        <v>70</v>
      </c>
      <c r="J267" s="3">
        <v>4</v>
      </c>
      <c r="K267" s="3">
        <v>1299</v>
      </c>
      <c r="L267" s="3">
        <v>0.2</v>
      </c>
      <c r="M267" s="3">
        <v>4412.34</v>
      </c>
      <c r="N267" s="3" t="s">
        <v>34</v>
      </c>
      <c r="O267" s="15">
        <f t="shared" si="27"/>
        <v>5196</v>
      </c>
      <c r="P267" s="20">
        <f t="shared" si="28"/>
        <v>1039.2</v>
      </c>
      <c r="R267" s="25">
        <f t="shared" si="29"/>
        <v>20784</v>
      </c>
      <c r="S267" s="24">
        <f t="shared" si="30"/>
        <v>0</v>
      </c>
    </row>
    <row r="268" spans="1:19" ht="15.6" thickTop="1" thickBot="1" x14ac:dyDescent="0.35">
      <c r="A268" s="8" t="s">
        <v>519</v>
      </c>
      <c r="B268" s="14">
        <v>47123</v>
      </c>
      <c r="C268" s="14" t="str">
        <f t="shared" si="25"/>
        <v>2029</v>
      </c>
      <c r="D268" s="14" t="str">
        <f t="shared" si="26"/>
        <v>01</v>
      </c>
      <c r="E268" s="9" t="s">
        <v>76</v>
      </c>
      <c r="F268" s="9" t="s">
        <v>15</v>
      </c>
      <c r="G268" s="9" t="s">
        <v>853</v>
      </c>
      <c r="H268" s="9" t="s">
        <v>32</v>
      </c>
      <c r="I268" s="9" t="s">
        <v>60</v>
      </c>
      <c r="J268" s="9">
        <v>8</v>
      </c>
      <c r="K268" s="9">
        <v>1299</v>
      </c>
      <c r="L268" s="9">
        <v>0.1</v>
      </c>
      <c r="M268" s="9">
        <v>8307.2000000000007</v>
      </c>
      <c r="N268" s="9" t="s">
        <v>27</v>
      </c>
      <c r="O268" s="15">
        <f t="shared" si="27"/>
        <v>10392</v>
      </c>
      <c r="P268" s="20">
        <f t="shared" si="28"/>
        <v>1039.2</v>
      </c>
      <c r="R268" s="25">
        <f t="shared" si="29"/>
        <v>83136</v>
      </c>
      <c r="S268" s="24">
        <f t="shared" si="30"/>
        <v>0</v>
      </c>
    </row>
    <row r="269" spans="1:19" ht="15.6" thickTop="1" thickBot="1" x14ac:dyDescent="0.35">
      <c r="A269" s="7" t="s">
        <v>520</v>
      </c>
      <c r="B269" s="14">
        <v>47124</v>
      </c>
      <c r="C269" s="14" t="str">
        <f t="shared" si="25"/>
        <v>2029</v>
      </c>
      <c r="D269" s="14" t="str">
        <f t="shared" si="26"/>
        <v>01</v>
      </c>
      <c r="E269" s="3" t="s">
        <v>73</v>
      </c>
      <c r="F269" s="3" t="s">
        <v>15</v>
      </c>
      <c r="G269" s="3" t="s">
        <v>16</v>
      </c>
      <c r="H269" s="3" t="s">
        <v>17</v>
      </c>
      <c r="I269" s="3" t="s">
        <v>18</v>
      </c>
      <c r="J269" s="3">
        <v>5</v>
      </c>
      <c r="K269" s="3">
        <v>420</v>
      </c>
      <c r="L269" s="3">
        <v>0.05</v>
      </c>
      <c r="M269" s="3">
        <v>1605.6</v>
      </c>
      <c r="N269" s="3" t="s">
        <v>67</v>
      </c>
      <c r="O269" s="15">
        <f t="shared" si="27"/>
        <v>2100</v>
      </c>
      <c r="P269" s="20">
        <f t="shared" si="28"/>
        <v>105</v>
      </c>
      <c r="R269" s="25">
        <f t="shared" si="29"/>
        <v>10500</v>
      </c>
      <c r="S269" s="24">
        <f t="shared" si="30"/>
        <v>0</v>
      </c>
    </row>
    <row r="270" spans="1:19" ht="15.6" thickTop="1" thickBot="1" x14ac:dyDescent="0.35">
      <c r="A270" s="8" t="s">
        <v>522</v>
      </c>
      <c r="B270" s="14">
        <v>47125</v>
      </c>
      <c r="C270" s="14" t="str">
        <f t="shared" si="25"/>
        <v>2029</v>
      </c>
      <c r="D270" s="14" t="str">
        <f t="shared" si="26"/>
        <v>01</v>
      </c>
      <c r="E270" s="9" t="s">
        <v>73</v>
      </c>
      <c r="F270" s="9" t="s">
        <v>23</v>
      </c>
      <c r="G270" s="9" t="s">
        <v>47</v>
      </c>
      <c r="H270" s="9" t="s">
        <v>32</v>
      </c>
      <c r="I270" s="9" t="s">
        <v>33</v>
      </c>
      <c r="J270" s="9">
        <v>7</v>
      </c>
      <c r="K270" s="9">
        <v>1499</v>
      </c>
      <c r="L270" s="9">
        <v>0.2</v>
      </c>
      <c r="M270" s="9">
        <v>5886.88</v>
      </c>
      <c r="N270" s="9" t="s">
        <v>44</v>
      </c>
      <c r="O270" s="15">
        <f t="shared" si="27"/>
        <v>10493</v>
      </c>
      <c r="P270" s="20">
        <f t="shared" si="28"/>
        <v>2098.6</v>
      </c>
      <c r="R270" s="25">
        <f t="shared" si="29"/>
        <v>73451</v>
      </c>
      <c r="S270" s="24">
        <f t="shared" si="30"/>
        <v>0</v>
      </c>
    </row>
    <row r="271" spans="1:19" ht="15.6" thickTop="1" thickBot="1" x14ac:dyDescent="0.35">
      <c r="A271" s="7" t="s">
        <v>523</v>
      </c>
      <c r="B271" s="14">
        <v>47126</v>
      </c>
      <c r="C271" s="14" t="str">
        <f t="shared" si="25"/>
        <v>2029</v>
      </c>
      <c r="D271" s="14" t="str">
        <f t="shared" si="26"/>
        <v>01</v>
      </c>
      <c r="E271" s="3" t="s">
        <v>76</v>
      </c>
      <c r="F271" s="3" t="s">
        <v>15</v>
      </c>
      <c r="G271" s="3" t="s">
        <v>24</v>
      </c>
      <c r="H271" s="3" t="s">
        <v>39</v>
      </c>
      <c r="I271" s="3" t="s">
        <v>106</v>
      </c>
      <c r="J271" s="3">
        <v>3</v>
      </c>
      <c r="K271" s="3">
        <v>999</v>
      </c>
      <c r="L271" s="3">
        <v>0.2</v>
      </c>
      <c r="M271" s="3">
        <v>1688.18</v>
      </c>
      <c r="N271" s="3" t="s">
        <v>67</v>
      </c>
      <c r="O271" s="15">
        <f t="shared" si="27"/>
        <v>2997</v>
      </c>
      <c r="P271" s="20">
        <f t="shared" si="28"/>
        <v>599.4</v>
      </c>
      <c r="R271" s="25">
        <f t="shared" si="29"/>
        <v>8991</v>
      </c>
      <c r="S271" s="24">
        <f t="shared" si="30"/>
        <v>0</v>
      </c>
    </row>
    <row r="272" spans="1:19" ht="15.6" thickTop="1" thickBot="1" x14ac:dyDescent="0.35">
      <c r="A272" s="8" t="s">
        <v>524</v>
      </c>
      <c r="B272" s="14">
        <v>47127</v>
      </c>
      <c r="C272" s="14" t="str">
        <f t="shared" si="25"/>
        <v>2029</v>
      </c>
      <c r="D272" s="14" t="str">
        <f t="shared" si="26"/>
        <v>01</v>
      </c>
      <c r="E272" s="9" t="s">
        <v>37</v>
      </c>
      <c r="F272" s="9" t="s">
        <v>15</v>
      </c>
      <c r="G272" s="9" t="s">
        <v>24</v>
      </c>
      <c r="H272" s="9" t="s">
        <v>25</v>
      </c>
      <c r="I272" s="9" t="s">
        <v>56</v>
      </c>
      <c r="J272" s="9">
        <v>4</v>
      </c>
      <c r="K272" s="9">
        <v>1499</v>
      </c>
      <c r="L272" s="9">
        <v>0.2</v>
      </c>
      <c r="M272" s="9">
        <v>4641.24</v>
      </c>
      <c r="N272" s="9" t="s">
        <v>19</v>
      </c>
      <c r="O272" s="15">
        <f t="shared" si="27"/>
        <v>5996</v>
      </c>
      <c r="P272" s="20">
        <f t="shared" si="28"/>
        <v>1199.2</v>
      </c>
      <c r="R272" s="25">
        <f t="shared" si="29"/>
        <v>23984</v>
      </c>
      <c r="S272" s="24">
        <f t="shared" si="30"/>
        <v>0</v>
      </c>
    </row>
    <row r="273" spans="1:19" ht="15.6" thickTop="1" thickBot="1" x14ac:dyDescent="0.35">
      <c r="A273" s="7" t="s">
        <v>525</v>
      </c>
      <c r="B273" s="14">
        <v>47128</v>
      </c>
      <c r="C273" s="14" t="str">
        <f t="shared" si="25"/>
        <v>2029</v>
      </c>
      <c r="D273" s="14" t="str">
        <f t="shared" si="26"/>
        <v>01</v>
      </c>
      <c r="E273" s="3" t="s">
        <v>22</v>
      </c>
      <c r="F273" s="3" t="s">
        <v>15</v>
      </c>
      <c r="G273" s="3" t="s">
        <v>59</v>
      </c>
      <c r="H273" s="3" t="s">
        <v>17</v>
      </c>
      <c r="I273" s="3" t="s">
        <v>86</v>
      </c>
      <c r="J273" s="3">
        <v>8</v>
      </c>
      <c r="K273" s="3">
        <v>55</v>
      </c>
      <c r="L273" s="3">
        <v>0.2</v>
      </c>
      <c r="M273" s="3">
        <v>333.14</v>
      </c>
      <c r="N273" s="3" t="s">
        <v>34</v>
      </c>
      <c r="O273" s="15">
        <f t="shared" si="27"/>
        <v>440</v>
      </c>
      <c r="P273" s="20">
        <f t="shared" si="28"/>
        <v>88</v>
      </c>
      <c r="R273" s="25">
        <f t="shared" si="29"/>
        <v>3520</v>
      </c>
      <c r="S273" s="24">
        <f t="shared" si="30"/>
        <v>0</v>
      </c>
    </row>
    <row r="274" spans="1:19" ht="15.6" thickTop="1" thickBot="1" x14ac:dyDescent="0.35">
      <c r="A274" s="8" t="s">
        <v>527</v>
      </c>
      <c r="B274" s="14">
        <v>47129</v>
      </c>
      <c r="C274" s="14" t="str">
        <f t="shared" si="25"/>
        <v>2029</v>
      </c>
      <c r="D274" s="14" t="str">
        <f t="shared" si="26"/>
        <v>01</v>
      </c>
      <c r="E274" s="9" t="s">
        <v>92</v>
      </c>
      <c r="F274" s="9" t="s">
        <v>23</v>
      </c>
      <c r="G274" s="9" t="s">
        <v>24</v>
      </c>
      <c r="H274" s="9" t="s">
        <v>17</v>
      </c>
      <c r="I274" s="9" t="s">
        <v>86</v>
      </c>
      <c r="J274" s="9">
        <v>2</v>
      </c>
      <c r="K274" s="9">
        <v>55</v>
      </c>
      <c r="L274" s="9">
        <v>0</v>
      </c>
      <c r="M274" s="9">
        <v>87.93</v>
      </c>
      <c r="N274" s="9" t="s">
        <v>34</v>
      </c>
      <c r="O274" s="15">
        <f t="shared" si="27"/>
        <v>110</v>
      </c>
      <c r="P274" s="20">
        <f t="shared" si="28"/>
        <v>0</v>
      </c>
      <c r="R274" s="25">
        <f t="shared" si="29"/>
        <v>220</v>
      </c>
      <c r="S274" s="24">
        <f t="shared" si="30"/>
        <v>0</v>
      </c>
    </row>
    <row r="275" spans="1:19" ht="15.6" thickTop="1" thickBot="1" x14ac:dyDescent="0.35">
      <c r="A275" s="7" t="s">
        <v>528</v>
      </c>
      <c r="B275" s="14">
        <v>47130</v>
      </c>
      <c r="C275" s="14" t="str">
        <f t="shared" si="25"/>
        <v>2029</v>
      </c>
      <c r="D275" s="14" t="str">
        <f t="shared" si="26"/>
        <v>01</v>
      </c>
      <c r="E275" s="3" t="s">
        <v>63</v>
      </c>
      <c r="F275" s="3" t="s">
        <v>23</v>
      </c>
      <c r="G275" s="3" t="s">
        <v>59</v>
      </c>
      <c r="H275" s="3" t="s">
        <v>39</v>
      </c>
      <c r="I275" s="3" t="s">
        <v>210</v>
      </c>
      <c r="J275" s="3">
        <v>8</v>
      </c>
      <c r="K275" s="3">
        <v>1999</v>
      </c>
      <c r="L275" s="3">
        <v>0.1</v>
      </c>
      <c r="M275" s="3">
        <v>11080.04</v>
      </c>
      <c r="N275" s="3" t="s">
        <v>67</v>
      </c>
      <c r="O275" s="15">
        <f t="shared" si="27"/>
        <v>15992</v>
      </c>
      <c r="P275" s="20">
        <f t="shared" si="28"/>
        <v>1599.2</v>
      </c>
      <c r="R275" s="25">
        <f t="shared" si="29"/>
        <v>127936</v>
      </c>
      <c r="S275" s="24">
        <f t="shared" si="30"/>
        <v>0</v>
      </c>
    </row>
    <row r="276" spans="1:19" ht="15.6" thickTop="1" thickBot="1" x14ac:dyDescent="0.35">
      <c r="A276" s="8" t="s">
        <v>529</v>
      </c>
      <c r="B276" s="14">
        <v>47131</v>
      </c>
      <c r="C276" s="14" t="str">
        <f t="shared" si="25"/>
        <v>2029</v>
      </c>
      <c r="D276" s="14" t="str">
        <f t="shared" si="26"/>
        <v>01</v>
      </c>
      <c r="E276" s="9" t="s">
        <v>73</v>
      </c>
      <c r="F276" s="9" t="s">
        <v>23</v>
      </c>
      <c r="G276" s="9" t="s">
        <v>24</v>
      </c>
      <c r="H276" s="9" t="s">
        <v>17</v>
      </c>
      <c r="I276" s="9" t="s">
        <v>89</v>
      </c>
      <c r="J276" s="9">
        <v>2</v>
      </c>
      <c r="K276" s="9">
        <v>650</v>
      </c>
      <c r="L276" s="9">
        <v>0</v>
      </c>
      <c r="M276" s="9">
        <v>1046.18</v>
      </c>
      <c r="N276" s="9" t="s">
        <v>27</v>
      </c>
      <c r="O276" s="15">
        <f t="shared" si="27"/>
        <v>1300</v>
      </c>
      <c r="P276" s="20">
        <f t="shared" si="28"/>
        <v>0</v>
      </c>
      <c r="R276" s="25">
        <f t="shared" si="29"/>
        <v>2600</v>
      </c>
      <c r="S276" s="24">
        <f t="shared" si="30"/>
        <v>0</v>
      </c>
    </row>
    <row r="277" spans="1:19" ht="15.6" thickTop="1" thickBot="1" x14ac:dyDescent="0.35">
      <c r="A277" s="7" t="s">
        <v>531</v>
      </c>
      <c r="B277" s="14">
        <v>47132</v>
      </c>
      <c r="C277" s="14" t="str">
        <f t="shared" si="25"/>
        <v>2029</v>
      </c>
      <c r="D277" s="14" t="str">
        <f t="shared" si="26"/>
        <v>01</v>
      </c>
      <c r="E277" s="3" t="s">
        <v>82</v>
      </c>
      <c r="F277" s="3" t="s">
        <v>15</v>
      </c>
      <c r="G277" s="3" t="s">
        <v>47</v>
      </c>
      <c r="H277" s="3" t="s">
        <v>39</v>
      </c>
      <c r="I277" s="3" t="s">
        <v>210</v>
      </c>
      <c r="J277" s="3">
        <v>3</v>
      </c>
      <c r="K277" s="3">
        <v>1999</v>
      </c>
      <c r="L277" s="3">
        <v>0.1</v>
      </c>
      <c r="M277" s="3">
        <v>4305.57</v>
      </c>
      <c r="N277" s="3" t="s">
        <v>67</v>
      </c>
      <c r="O277" s="15">
        <f t="shared" si="27"/>
        <v>5997</v>
      </c>
      <c r="P277" s="20">
        <f t="shared" si="28"/>
        <v>599.70000000000005</v>
      </c>
      <c r="R277" s="25">
        <f t="shared" si="29"/>
        <v>17991</v>
      </c>
      <c r="S277" s="24">
        <f t="shared" si="30"/>
        <v>0</v>
      </c>
    </row>
    <row r="278" spans="1:19" ht="15.6" thickTop="1" thickBot="1" x14ac:dyDescent="0.35">
      <c r="A278" s="8" t="s">
        <v>532</v>
      </c>
      <c r="B278" s="14">
        <v>47133</v>
      </c>
      <c r="C278" s="14" t="str">
        <f t="shared" si="25"/>
        <v>2029</v>
      </c>
      <c r="D278" s="14" t="str">
        <f t="shared" si="26"/>
        <v>01</v>
      </c>
      <c r="E278" s="9" t="s">
        <v>37</v>
      </c>
      <c r="F278" s="9" t="s">
        <v>15</v>
      </c>
      <c r="G278" s="9" t="s">
        <v>31</v>
      </c>
      <c r="H278" s="9" t="s">
        <v>32</v>
      </c>
      <c r="I278" s="9" t="s">
        <v>97</v>
      </c>
      <c r="J278" s="9">
        <v>1</v>
      </c>
      <c r="K278" s="9">
        <v>899</v>
      </c>
      <c r="L278" s="9">
        <v>0.2</v>
      </c>
      <c r="M278" s="9">
        <v>732.62</v>
      </c>
      <c r="N278" s="9" t="s">
        <v>67</v>
      </c>
      <c r="O278" s="15">
        <f t="shared" si="27"/>
        <v>899</v>
      </c>
      <c r="P278" s="20">
        <f t="shared" si="28"/>
        <v>179.8</v>
      </c>
      <c r="R278" s="25">
        <f t="shared" si="29"/>
        <v>899</v>
      </c>
      <c r="S278" s="24">
        <f t="shared" si="30"/>
        <v>0</v>
      </c>
    </row>
    <row r="279" spans="1:19" ht="15.6" thickTop="1" thickBot="1" x14ac:dyDescent="0.35">
      <c r="A279" s="7" t="s">
        <v>534</v>
      </c>
      <c r="B279" s="14">
        <v>47134</v>
      </c>
      <c r="C279" s="14" t="str">
        <f t="shared" si="25"/>
        <v>2029</v>
      </c>
      <c r="D279" s="14" t="str">
        <f t="shared" si="26"/>
        <v>01</v>
      </c>
      <c r="E279" s="3" t="s">
        <v>37</v>
      </c>
      <c r="F279" s="3" t="s">
        <v>23</v>
      </c>
      <c r="G279" s="3" t="s">
        <v>24</v>
      </c>
      <c r="H279" s="3" t="s">
        <v>39</v>
      </c>
      <c r="I279" s="3" t="s">
        <v>40</v>
      </c>
      <c r="J279" s="3">
        <v>5</v>
      </c>
      <c r="K279" s="3">
        <v>1599</v>
      </c>
      <c r="L279" s="3">
        <v>0</v>
      </c>
      <c r="M279" s="3">
        <v>5782.02</v>
      </c>
      <c r="N279" s="3" t="s">
        <v>19</v>
      </c>
      <c r="O279" s="15">
        <f t="shared" si="27"/>
        <v>7995</v>
      </c>
      <c r="P279" s="20">
        <f t="shared" si="28"/>
        <v>0</v>
      </c>
      <c r="R279" s="25">
        <f t="shared" si="29"/>
        <v>39975</v>
      </c>
      <c r="S279" s="24">
        <f t="shared" si="30"/>
        <v>0</v>
      </c>
    </row>
    <row r="280" spans="1:19" ht="15.6" thickTop="1" thickBot="1" x14ac:dyDescent="0.35">
      <c r="A280" s="8" t="s">
        <v>535</v>
      </c>
      <c r="B280" s="14">
        <v>47135</v>
      </c>
      <c r="C280" s="14" t="str">
        <f t="shared" si="25"/>
        <v>2029</v>
      </c>
      <c r="D280" s="14" t="str">
        <f t="shared" si="26"/>
        <v>01</v>
      </c>
      <c r="E280" s="9" t="s">
        <v>43</v>
      </c>
      <c r="F280" s="9" t="s">
        <v>23</v>
      </c>
      <c r="G280" s="9" t="s">
        <v>31</v>
      </c>
      <c r="H280" s="9" t="s">
        <v>32</v>
      </c>
      <c r="I280" s="9" t="s">
        <v>103</v>
      </c>
      <c r="J280" s="9">
        <v>5</v>
      </c>
      <c r="K280" s="9">
        <v>499</v>
      </c>
      <c r="L280" s="9">
        <v>0.15</v>
      </c>
      <c r="M280" s="9">
        <v>1767.24</v>
      </c>
      <c r="N280" s="9" t="s">
        <v>44</v>
      </c>
      <c r="O280" s="15">
        <f t="shared" si="27"/>
        <v>2495</v>
      </c>
      <c r="P280" s="20">
        <f t="shared" si="28"/>
        <v>374.25</v>
      </c>
      <c r="R280" s="25">
        <f t="shared" si="29"/>
        <v>12475</v>
      </c>
      <c r="S280" s="24">
        <f t="shared" si="30"/>
        <v>0</v>
      </c>
    </row>
    <row r="281" spans="1:19" ht="15.6" thickTop="1" thickBot="1" x14ac:dyDescent="0.35">
      <c r="A281" s="7" t="s">
        <v>536</v>
      </c>
      <c r="B281" s="14">
        <v>47136</v>
      </c>
      <c r="C281" s="14" t="str">
        <f t="shared" si="25"/>
        <v>2029</v>
      </c>
      <c r="D281" s="14" t="str">
        <f t="shared" si="26"/>
        <v>01</v>
      </c>
      <c r="E281" s="3" t="s">
        <v>37</v>
      </c>
      <c r="F281" s="3" t="s">
        <v>23</v>
      </c>
      <c r="G281" s="3" t="s">
        <v>47</v>
      </c>
      <c r="H281" s="3" t="s">
        <v>25</v>
      </c>
      <c r="I281" s="3" t="s">
        <v>56</v>
      </c>
      <c r="J281" s="3">
        <v>6</v>
      </c>
      <c r="K281" s="3">
        <v>1499</v>
      </c>
      <c r="L281" s="3">
        <v>0.15</v>
      </c>
      <c r="M281" s="3">
        <v>6612.47</v>
      </c>
      <c r="N281" s="3" t="s">
        <v>44</v>
      </c>
      <c r="O281" s="15">
        <f t="shared" si="27"/>
        <v>8994</v>
      </c>
      <c r="P281" s="20">
        <f t="shared" si="28"/>
        <v>1349.1</v>
      </c>
      <c r="R281" s="25">
        <f t="shared" si="29"/>
        <v>53964</v>
      </c>
      <c r="S281" s="24">
        <f t="shared" si="30"/>
        <v>0</v>
      </c>
    </row>
    <row r="282" spans="1:19" ht="15.6" thickTop="1" thickBot="1" x14ac:dyDescent="0.35">
      <c r="A282" s="8" t="s">
        <v>537</v>
      </c>
      <c r="B282" s="14">
        <v>47137</v>
      </c>
      <c r="C282" s="14" t="str">
        <f t="shared" si="25"/>
        <v>2029</v>
      </c>
      <c r="D282" s="14" t="str">
        <f t="shared" si="26"/>
        <v>01</v>
      </c>
      <c r="E282" s="9" t="s">
        <v>22</v>
      </c>
      <c r="F282" s="9" t="s">
        <v>15</v>
      </c>
      <c r="G282" s="9" t="s">
        <v>16</v>
      </c>
      <c r="H282" s="9" t="s">
        <v>39</v>
      </c>
      <c r="I282" s="9" t="s">
        <v>106</v>
      </c>
      <c r="J282" s="9">
        <v>2</v>
      </c>
      <c r="K282" s="9">
        <v>999</v>
      </c>
      <c r="L282" s="9">
        <v>0.05</v>
      </c>
      <c r="M282" s="9">
        <v>1281.94</v>
      </c>
      <c r="N282" s="9" t="s">
        <v>34</v>
      </c>
      <c r="O282" s="15">
        <f t="shared" si="27"/>
        <v>1998</v>
      </c>
      <c r="P282" s="20">
        <f t="shared" si="28"/>
        <v>99.9</v>
      </c>
      <c r="R282" s="25">
        <f t="shared" si="29"/>
        <v>3996</v>
      </c>
      <c r="S282" s="24">
        <f t="shared" si="30"/>
        <v>0</v>
      </c>
    </row>
    <row r="283" spans="1:19" ht="15.6" thickTop="1" thickBot="1" x14ac:dyDescent="0.35">
      <c r="A283" s="7" t="s">
        <v>538</v>
      </c>
      <c r="B283" s="14">
        <v>47138</v>
      </c>
      <c r="C283" s="14" t="str">
        <f t="shared" si="25"/>
        <v>2029</v>
      </c>
      <c r="D283" s="14" t="str">
        <f t="shared" si="26"/>
        <v>01</v>
      </c>
      <c r="E283" s="3" t="s">
        <v>82</v>
      </c>
      <c r="F283" s="3" t="s">
        <v>23</v>
      </c>
      <c r="G283" s="3" t="s">
        <v>59</v>
      </c>
      <c r="H283" s="3" t="s">
        <v>39</v>
      </c>
      <c r="I283" s="3" t="s">
        <v>210</v>
      </c>
      <c r="J283" s="3">
        <v>7</v>
      </c>
      <c r="K283" s="3">
        <v>1999</v>
      </c>
      <c r="L283" s="3">
        <v>0.15</v>
      </c>
      <c r="M283" s="3">
        <v>8475.93</v>
      </c>
      <c r="N283" s="3" t="s">
        <v>19</v>
      </c>
      <c r="O283" s="15">
        <f t="shared" si="27"/>
        <v>13993</v>
      </c>
      <c r="P283" s="20">
        <f t="shared" si="28"/>
        <v>2098.9499999999998</v>
      </c>
      <c r="R283" s="25">
        <f t="shared" si="29"/>
        <v>97951</v>
      </c>
      <c r="S283" s="24">
        <f t="shared" si="30"/>
        <v>0</v>
      </c>
    </row>
    <row r="284" spans="1:19" ht="15.6" thickTop="1" thickBot="1" x14ac:dyDescent="0.35">
      <c r="A284" s="8" t="s">
        <v>539</v>
      </c>
      <c r="B284" s="14">
        <v>47139</v>
      </c>
      <c r="C284" s="14" t="str">
        <f t="shared" si="25"/>
        <v>2029</v>
      </c>
      <c r="D284" s="14" t="str">
        <f t="shared" si="26"/>
        <v>01</v>
      </c>
      <c r="E284" s="9" t="s">
        <v>82</v>
      </c>
      <c r="F284" s="9" t="s">
        <v>15</v>
      </c>
      <c r="G284" s="9" t="s">
        <v>59</v>
      </c>
      <c r="H284" s="9" t="s">
        <v>17</v>
      </c>
      <c r="I284" s="9" t="s">
        <v>18</v>
      </c>
      <c r="J284" s="9">
        <v>3</v>
      </c>
      <c r="K284" s="9">
        <v>420</v>
      </c>
      <c r="L284" s="9">
        <v>0.1</v>
      </c>
      <c r="M284" s="9">
        <v>1011.27</v>
      </c>
      <c r="N284" s="9" t="s">
        <v>19</v>
      </c>
      <c r="O284" s="15">
        <f t="shared" si="27"/>
        <v>1260</v>
      </c>
      <c r="P284" s="20">
        <f t="shared" si="28"/>
        <v>126</v>
      </c>
      <c r="R284" s="25">
        <f t="shared" si="29"/>
        <v>3780</v>
      </c>
      <c r="S284" s="24">
        <f t="shared" si="30"/>
        <v>0</v>
      </c>
    </row>
    <row r="285" spans="1:19" ht="15.6" thickTop="1" thickBot="1" x14ac:dyDescent="0.35">
      <c r="A285" s="7" t="s">
        <v>540</v>
      </c>
      <c r="B285" s="14">
        <v>47140</v>
      </c>
      <c r="C285" s="14" t="str">
        <f t="shared" si="25"/>
        <v>2029</v>
      </c>
      <c r="D285" s="14" t="str">
        <f t="shared" si="26"/>
        <v>01</v>
      </c>
      <c r="E285" s="3" t="s">
        <v>43</v>
      </c>
      <c r="F285" s="3" t="s">
        <v>15</v>
      </c>
      <c r="G285" s="3" t="s">
        <v>59</v>
      </c>
      <c r="H285" s="3" t="s">
        <v>39</v>
      </c>
      <c r="I285" s="3" t="s">
        <v>40</v>
      </c>
      <c r="J285" s="3">
        <v>7</v>
      </c>
      <c r="K285" s="3">
        <v>1599</v>
      </c>
      <c r="L285" s="3">
        <v>0.2</v>
      </c>
      <c r="M285" s="3">
        <v>7853.36</v>
      </c>
      <c r="N285" s="3" t="s">
        <v>67</v>
      </c>
      <c r="O285" s="15">
        <f t="shared" si="27"/>
        <v>11193</v>
      </c>
      <c r="P285" s="20">
        <f t="shared" si="28"/>
        <v>2238.6</v>
      </c>
      <c r="R285" s="25">
        <f t="shared" si="29"/>
        <v>78351</v>
      </c>
      <c r="S285" s="24">
        <f t="shared" si="30"/>
        <v>0</v>
      </c>
    </row>
    <row r="286" spans="1:19" ht="15.6" thickTop="1" thickBot="1" x14ac:dyDescent="0.35">
      <c r="A286" s="8" t="s">
        <v>542</v>
      </c>
      <c r="B286" s="14">
        <v>47141</v>
      </c>
      <c r="C286" s="14" t="str">
        <f t="shared" si="25"/>
        <v>2029</v>
      </c>
      <c r="D286" s="14" t="str">
        <f t="shared" si="26"/>
        <v>01</v>
      </c>
      <c r="E286" s="9" t="s">
        <v>73</v>
      </c>
      <c r="F286" s="9" t="s">
        <v>23</v>
      </c>
      <c r="G286" s="9" t="s">
        <v>16</v>
      </c>
      <c r="H286" s="9" t="s">
        <v>32</v>
      </c>
      <c r="I286" s="9" t="s">
        <v>97</v>
      </c>
      <c r="J286" s="9">
        <v>3</v>
      </c>
      <c r="K286" s="9">
        <v>899</v>
      </c>
      <c r="L286" s="9">
        <v>0</v>
      </c>
      <c r="M286" s="9">
        <v>1940.81</v>
      </c>
      <c r="N286" s="9" t="s">
        <v>34</v>
      </c>
      <c r="O286" s="15">
        <f t="shared" si="27"/>
        <v>2697</v>
      </c>
      <c r="P286" s="20">
        <f t="shared" si="28"/>
        <v>0</v>
      </c>
      <c r="R286" s="25">
        <f t="shared" si="29"/>
        <v>8091</v>
      </c>
      <c r="S286" s="24">
        <f t="shared" si="30"/>
        <v>0</v>
      </c>
    </row>
    <row r="287" spans="1:19" ht="15.6" thickTop="1" thickBot="1" x14ac:dyDescent="0.35">
      <c r="A287" s="7" t="s">
        <v>543</v>
      </c>
      <c r="B287" s="14">
        <v>47142</v>
      </c>
      <c r="C287" s="14" t="str">
        <f t="shared" si="25"/>
        <v>2029</v>
      </c>
      <c r="D287" s="14" t="str">
        <f t="shared" si="26"/>
        <v>01</v>
      </c>
      <c r="E287" s="3" t="s">
        <v>92</v>
      </c>
      <c r="F287" s="3" t="s">
        <v>23</v>
      </c>
      <c r="G287" s="3" t="s">
        <v>31</v>
      </c>
      <c r="H287" s="3" t="s">
        <v>17</v>
      </c>
      <c r="I287" s="3" t="s">
        <v>18</v>
      </c>
      <c r="J287" s="3">
        <v>8</v>
      </c>
      <c r="K287" s="3">
        <v>420</v>
      </c>
      <c r="L287" s="3">
        <v>0.2</v>
      </c>
      <c r="M287" s="3">
        <v>2596.46</v>
      </c>
      <c r="N287" s="3" t="s">
        <v>67</v>
      </c>
      <c r="O287" s="15">
        <f t="shared" si="27"/>
        <v>3360</v>
      </c>
      <c r="P287" s="20">
        <f t="shared" si="28"/>
        <v>672</v>
      </c>
      <c r="R287" s="25">
        <f t="shared" si="29"/>
        <v>26880</v>
      </c>
      <c r="S287" s="24">
        <f t="shared" si="30"/>
        <v>0</v>
      </c>
    </row>
    <row r="288" spans="1:19" ht="15.6" thickTop="1" thickBot="1" x14ac:dyDescent="0.35">
      <c r="A288" s="8" t="s">
        <v>544</v>
      </c>
      <c r="B288" s="14">
        <v>47143</v>
      </c>
      <c r="C288" s="14" t="str">
        <f t="shared" si="25"/>
        <v>2029</v>
      </c>
      <c r="D288" s="14" t="str">
        <f t="shared" si="26"/>
        <v>01</v>
      </c>
      <c r="E288" s="9" t="s">
        <v>76</v>
      </c>
      <c r="F288" s="9" t="s">
        <v>15</v>
      </c>
      <c r="G288" s="9" t="s">
        <v>47</v>
      </c>
      <c r="H288" s="9" t="s">
        <v>25</v>
      </c>
      <c r="I288" s="9" t="s">
        <v>56</v>
      </c>
      <c r="J288" s="9">
        <v>6</v>
      </c>
      <c r="K288" s="9">
        <v>1499</v>
      </c>
      <c r="L288" s="9">
        <v>0.2</v>
      </c>
      <c r="M288" s="9">
        <v>7166.27</v>
      </c>
      <c r="N288" s="9" t="s">
        <v>27</v>
      </c>
      <c r="O288" s="15">
        <f t="shared" si="27"/>
        <v>8994</v>
      </c>
      <c r="P288" s="20">
        <f t="shared" si="28"/>
        <v>1798.8000000000002</v>
      </c>
      <c r="R288" s="25">
        <f t="shared" si="29"/>
        <v>53964</v>
      </c>
      <c r="S288" s="24">
        <f t="shared" si="30"/>
        <v>0</v>
      </c>
    </row>
    <row r="289" spans="1:19" ht="15.6" thickTop="1" thickBot="1" x14ac:dyDescent="0.35">
      <c r="A289" s="7" t="s">
        <v>545</v>
      </c>
      <c r="B289" s="14">
        <v>47144</v>
      </c>
      <c r="C289" s="14" t="str">
        <f t="shared" si="25"/>
        <v>2029</v>
      </c>
      <c r="D289" s="14" t="str">
        <f t="shared" si="26"/>
        <v>01</v>
      </c>
      <c r="E289" s="3" t="s">
        <v>76</v>
      </c>
      <c r="F289" s="3" t="s">
        <v>15</v>
      </c>
      <c r="G289" s="3" t="s">
        <v>59</v>
      </c>
      <c r="H289" s="3" t="s">
        <v>25</v>
      </c>
      <c r="I289" s="3" t="s">
        <v>79</v>
      </c>
      <c r="J289" s="3">
        <v>5</v>
      </c>
      <c r="K289" s="3">
        <v>899</v>
      </c>
      <c r="L289" s="3">
        <v>0</v>
      </c>
      <c r="M289" s="3">
        <v>3078.71</v>
      </c>
      <c r="N289" s="3" t="s">
        <v>44</v>
      </c>
      <c r="O289" s="15">
        <f t="shared" si="27"/>
        <v>4495</v>
      </c>
      <c r="P289" s="20">
        <f t="shared" si="28"/>
        <v>0</v>
      </c>
      <c r="R289" s="25">
        <f t="shared" si="29"/>
        <v>22475</v>
      </c>
      <c r="S289" s="24">
        <f t="shared" si="30"/>
        <v>0</v>
      </c>
    </row>
    <row r="290" spans="1:19" ht="15.6" thickTop="1" thickBot="1" x14ac:dyDescent="0.35">
      <c r="A290" s="8" t="s">
        <v>546</v>
      </c>
      <c r="B290" s="14">
        <v>47145</v>
      </c>
      <c r="C290" s="14" t="str">
        <f t="shared" si="25"/>
        <v>2029</v>
      </c>
      <c r="D290" s="14" t="str">
        <f t="shared" si="26"/>
        <v>01</v>
      </c>
      <c r="E290" s="9" t="s">
        <v>73</v>
      </c>
      <c r="F290" s="9" t="s">
        <v>15</v>
      </c>
      <c r="G290" s="9" t="s">
        <v>31</v>
      </c>
      <c r="H290" s="9" t="s">
        <v>39</v>
      </c>
      <c r="I290" s="9" t="s">
        <v>210</v>
      </c>
      <c r="J290" s="9">
        <v>6</v>
      </c>
      <c r="K290" s="9">
        <v>1999</v>
      </c>
      <c r="L290" s="9">
        <v>0.2</v>
      </c>
      <c r="M290" s="9">
        <v>8873.5400000000009</v>
      </c>
      <c r="N290" s="9" t="s">
        <v>34</v>
      </c>
      <c r="O290" s="15">
        <f t="shared" si="27"/>
        <v>11994</v>
      </c>
      <c r="P290" s="20">
        <f t="shared" si="28"/>
        <v>2398.8000000000002</v>
      </c>
      <c r="R290" s="25">
        <f t="shared" si="29"/>
        <v>71964</v>
      </c>
      <c r="S290" s="24">
        <f t="shared" si="30"/>
        <v>0</v>
      </c>
    </row>
    <row r="291" spans="1:19" ht="15.6" thickTop="1" thickBot="1" x14ac:dyDescent="0.35">
      <c r="A291" s="7" t="s">
        <v>547</v>
      </c>
      <c r="B291" s="14">
        <v>47146</v>
      </c>
      <c r="C291" s="14" t="str">
        <f t="shared" si="25"/>
        <v>2029</v>
      </c>
      <c r="D291" s="14" t="str">
        <f t="shared" si="26"/>
        <v>01</v>
      </c>
      <c r="E291" s="3" t="s">
        <v>82</v>
      </c>
      <c r="F291" s="3" t="s">
        <v>15</v>
      </c>
      <c r="G291" s="3" t="s">
        <v>31</v>
      </c>
      <c r="H291" s="3" t="s">
        <v>25</v>
      </c>
      <c r="I291" s="3" t="s">
        <v>70</v>
      </c>
      <c r="J291" s="3">
        <v>6</v>
      </c>
      <c r="K291" s="3">
        <v>1299</v>
      </c>
      <c r="L291" s="3">
        <v>0.2</v>
      </c>
      <c r="M291" s="3">
        <v>4943.93</v>
      </c>
      <c r="N291" s="3" t="s">
        <v>19</v>
      </c>
      <c r="O291" s="15">
        <f t="shared" si="27"/>
        <v>7794</v>
      </c>
      <c r="P291" s="20">
        <f t="shared" si="28"/>
        <v>1558.8000000000002</v>
      </c>
      <c r="R291" s="25">
        <f t="shared" si="29"/>
        <v>46764</v>
      </c>
      <c r="S291" s="24">
        <f t="shared" si="30"/>
        <v>0</v>
      </c>
    </row>
    <row r="292" spans="1:19" ht="15.6" thickTop="1" thickBot="1" x14ac:dyDescent="0.35">
      <c r="A292" s="8" t="s">
        <v>549</v>
      </c>
      <c r="B292" s="14">
        <v>47147</v>
      </c>
      <c r="C292" s="14" t="str">
        <f t="shared" si="25"/>
        <v>2029</v>
      </c>
      <c r="D292" s="14" t="str">
        <f t="shared" si="26"/>
        <v>01</v>
      </c>
      <c r="E292" s="9" t="s">
        <v>43</v>
      </c>
      <c r="F292" s="9" t="s">
        <v>23</v>
      </c>
      <c r="G292" s="9" t="s">
        <v>38</v>
      </c>
      <c r="H292" s="9" t="s">
        <v>17</v>
      </c>
      <c r="I292" s="9" t="s">
        <v>74</v>
      </c>
      <c r="J292" s="9">
        <v>2</v>
      </c>
      <c r="K292" s="9">
        <v>240</v>
      </c>
      <c r="L292" s="9">
        <v>0.05</v>
      </c>
      <c r="M292" s="9">
        <v>402.64</v>
      </c>
      <c r="N292" s="9" t="s">
        <v>67</v>
      </c>
      <c r="O292" s="15">
        <f t="shared" si="27"/>
        <v>480</v>
      </c>
      <c r="P292" s="20">
        <f t="shared" si="28"/>
        <v>24</v>
      </c>
      <c r="R292" s="25">
        <f t="shared" si="29"/>
        <v>960</v>
      </c>
      <c r="S292" s="24">
        <f t="shared" si="30"/>
        <v>0</v>
      </c>
    </row>
    <row r="293" spans="1:19" ht="15.6" thickTop="1" thickBot="1" x14ac:dyDescent="0.35">
      <c r="A293" s="7" t="s">
        <v>550</v>
      </c>
      <c r="B293" s="14">
        <v>47148</v>
      </c>
      <c r="C293" s="14" t="str">
        <f t="shared" si="25"/>
        <v>2029</v>
      </c>
      <c r="D293" s="14" t="str">
        <f t="shared" si="26"/>
        <v>01</v>
      </c>
      <c r="E293" s="3" t="s">
        <v>63</v>
      </c>
      <c r="F293" s="3" t="s">
        <v>15</v>
      </c>
      <c r="G293" s="3" t="s">
        <v>16</v>
      </c>
      <c r="H293" s="3" t="s">
        <v>39</v>
      </c>
      <c r="I293" s="3" t="s">
        <v>40</v>
      </c>
      <c r="J293" s="3">
        <v>3</v>
      </c>
      <c r="K293" s="3">
        <v>1599</v>
      </c>
      <c r="L293" s="3">
        <v>0.1</v>
      </c>
      <c r="M293" s="3">
        <v>3830.62</v>
      </c>
      <c r="N293" s="3" t="s">
        <v>67</v>
      </c>
      <c r="O293" s="15">
        <f t="shared" si="27"/>
        <v>4797</v>
      </c>
      <c r="P293" s="20">
        <f t="shared" si="28"/>
        <v>479.70000000000005</v>
      </c>
      <c r="R293" s="25">
        <f t="shared" si="29"/>
        <v>14391</v>
      </c>
      <c r="S293" s="24">
        <f t="shared" si="30"/>
        <v>0</v>
      </c>
    </row>
    <row r="294" spans="1:19" ht="15.6" thickTop="1" thickBot="1" x14ac:dyDescent="0.35">
      <c r="A294" s="8" t="s">
        <v>552</v>
      </c>
      <c r="B294" s="14">
        <v>47149</v>
      </c>
      <c r="C294" s="14" t="str">
        <f t="shared" si="25"/>
        <v>2029</v>
      </c>
      <c r="D294" s="14" t="str">
        <f t="shared" si="26"/>
        <v>01</v>
      </c>
      <c r="E294" s="9" t="s">
        <v>82</v>
      </c>
      <c r="F294" s="9" t="s">
        <v>23</v>
      </c>
      <c r="G294" s="9" t="s">
        <v>16</v>
      </c>
      <c r="H294" s="9" t="s">
        <v>32</v>
      </c>
      <c r="I294" s="9" t="s">
        <v>97</v>
      </c>
      <c r="J294" s="9">
        <v>8</v>
      </c>
      <c r="K294" s="9">
        <v>899</v>
      </c>
      <c r="L294" s="9">
        <v>0</v>
      </c>
      <c r="M294" s="9">
        <v>5322.72</v>
      </c>
      <c r="N294" s="9" t="s">
        <v>27</v>
      </c>
      <c r="O294" s="15">
        <f t="shared" si="27"/>
        <v>7192</v>
      </c>
      <c r="P294" s="20">
        <f t="shared" si="28"/>
        <v>0</v>
      </c>
      <c r="R294" s="25">
        <f t="shared" si="29"/>
        <v>57536</v>
      </c>
      <c r="S294" s="24">
        <f t="shared" si="30"/>
        <v>0</v>
      </c>
    </row>
    <row r="295" spans="1:19" ht="15.6" thickTop="1" thickBot="1" x14ac:dyDescent="0.35">
      <c r="A295" s="7" t="s">
        <v>554</v>
      </c>
      <c r="B295" s="14">
        <v>47150</v>
      </c>
      <c r="C295" s="14" t="str">
        <f t="shared" si="25"/>
        <v>2029</v>
      </c>
      <c r="D295" s="14" t="str">
        <f t="shared" si="26"/>
        <v>02</v>
      </c>
      <c r="E295" s="3" t="s">
        <v>76</v>
      </c>
      <c r="F295" s="3" t="s">
        <v>23</v>
      </c>
      <c r="G295" s="3" t="s">
        <v>16</v>
      </c>
      <c r="H295" s="3" t="s">
        <v>17</v>
      </c>
      <c r="I295" s="3" t="s">
        <v>86</v>
      </c>
      <c r="J295" s="3">
        <v>8</v>
      </c>
      <c r="K295" s="3">
        <v>55</v>
      </c>
      <c r="L295" s="3">
        <v>0.1</v>
      </c>
      <c r="M295" s="3">
        <v>318.82</v>
      </c>
      <c r="N295" s="3" t="s">
        <v>27</v>
      </c>
      <c r="O295" s="15">
        <f t="shared" si="27"/>
        <v>440</v>
      </c>
      <c r="P295" s="20">
        <f t="shared" si="28"/>
        <v>44</v>
      </c>
      <c r="R295" s="25">
        <f t="shared" si="29"/>
        <v>3520</v>
      </c>
      <c r="S295" s="24">
        <f t="shared" si="30"/>
        <v>0</v>
      </c>
    </row>
    <row r="296" spans="1:19" ht="15.6" thickTop="1" thickBot="1" x14ac:dyDescent="0.35">
      <c r="A296" s="8" t="s">
        <v>556</v>
      </c>
      <c r="B296" s="14">
        <v>47151</v>
      </c>
      <c r="C296" s="14" t="str">
        <f t="shared" si="25"/>
        <v>2029</v>
      </c>
      <c r="D296" s="14" t="str">
        <f t="shared" si="26"/>
        <v>02</v>
      </c>
      <c r="E296" s="9" t="s">
        <v>43</v>
      </c>
      <c r="F296" s="9" t="s">
        <v>15</v>
      </c>
      <c r="G296" s="9" t="s">
        <v>47</v>
      </c>
      <c r="H296" s="9" t="s">
        <v>32</v>
      </c>
      <c r="I296" s="9" t="s">
        <v>60</v>
      </c>
      <c r="J296" s="9">
        <v>7</v>
      </c>
      <c r="K296" s="9">
        <v>1299</v>
      </c>
      <c r="L296" s="9">
        <v>0.05</v>
      </c>
      <c r="M296" s="9">
        <v>6350.68</v>
      </c>
      <c r="N296" s="9" t="s">
        <v>44</v>
      </c>
      <c r="O296" s="15">
        <f t="shared" si="27"/>
        <v>9093</v>
      </c>
      <c r="P296" s="20">
        <f t="shared" si="28"/>
        <v>454.65000000000003</v>
      </c>
      <c r="R296" s="25">
        <f t="shared" si="29"/>
        <v>63651</v>
      </c>
      <c r="S296" s="24">
        <f t="shared" si="30"/>
        <v>0</v>
      </c>
    </row>
    <row r="297" spans="1:19" ht="15.6" thickTop="1" thickBot="1" x14ac:dyDescent="0.35">
      <c r="A297" s="7" t="s">
        <v>557</v>
      </c>
      <c r="B297" s="14">
        <v>47152</v>
      </c>
      <c r="C297" s="14" t="str">
        <f t="shared" si="25"/>
        <v>2029</v>
      </c>
      <c r="D297" s="14" t="str">
        <f t="shared" si="26"/>
        <v>02</v>
      </c>
      <c r="E297" s="3" t="s">
        <v>43</v>
      </c>
      <c r="F297" s="3" t="s">
        <v>15</v>
      </c>
      <c r="G297" s="3" t="s">
        <v>47</v>
      </c>
      <c r="H297" s="3" t="s">
        <v>32</v>
      </c>
      <c r="I297" s="3" t="s">
        <v>51</v>
      </c>
      <c r="J297" s="3">
        <v>1</v>
      </c>
      <c r="K297" s="3">
        <v>699</v>
      </c>
      <c r="L297" s="3">
        <v>0</v>
      </c>
      <c r="M297" s="3">
        <v>405.33</v>
      </c>
      <c r="N297" s="3" t="s">
        <v>67</v>
      </c>
      <c r="O297" s="15">
        <f t="shared" si="27"/>
        <v>699</v>
      </c>
      <c r="P297" s="20">
        <f t="shared" si="28"/>
        <v>0</v>
      </c>
      <c r="R297" s="25">
        <f t="shared" si="29"/>
        <v>699</v>
      </c>
      <c r="S297" s="24">
        <f t="shared" si="30"/>
        <v>0</v>
      </c>
    </row>
    <row r="298" spans="1:19" ht="15.6" thickTop="1" thickBot="1" x14ac:dyDescent="0.35">
      <c r="A298" s="8" t="s">
        <v>558</v>
      </c>
      <c r="B298" s="14">
        <v>47153</v>
      </c>
      <c r="C298" s="14" t="str">
        <f t="shared" si="25"/>
        <v>2029</v>
      </c>
      <c r="D298" s="14" t="str">
        <f t="shared" si="26"/>
        <v>02</v>
      </c>
      <c r="E298" s="9" t="s">
        <v>14</v>
      </c>
      <c r="F298" s="9" t="s">
        <v>15</v>
      </c>
      <c r="G298" s="9" t="s">
        <v>59</v>
      </c>
      <c r="H298" s="9" t="s">
        <v>32</v>
      </c>
      <c r="I298" s="9" t="s">
        <v>103</v>
      </c>
      <c r="J298" s="9">
        <v>7</v>
      </c>
      <c r="K298" s="9">
        <v>499</v>
      </c>
      <c r="L298" s="9">
        <v>0.05</v>
      </c>
      <c r="M298" s="9">
        <v>2964.54</v>
      </c>
      <c r="N298" s="9" t="s">
        <v>34</v>
      </c>
      <c r="O298" s="15">
        <f t="shared" si="27"/>
        <v>3493</v>
      </c>
      <c r="P298" s="20">
        <f t="shared" si="28"/>
        <v>174.65</v>
      </c>
      <c r="R298" s="25">
        <f t="shared" si="29"/>
        <v>24451</v>
      </c>
      <c r="S298" s="24">
        <f t="shared" si="30"/>
        <v>0</v>
      </c>
    </row>
    <row r="299" spans="1:19" ht="15.6" thickTop="1" thickBot="1" x14ac:dyDescent="0.35">
      <c r="A299" s="7" t="s">
        <v>559</v>
      </c>
      <c r="B299" s="14">
        <v>47154</v>
      </c>
      <c r="C299" s="14" t="str">
        <f t="shared" si="25"/>
        <v>2029</v>
      </c>
      <c r="D299" s="14" t="str">
        <f t="shared" si="26"/>
        <v>02</v>
      </c>
      <c r="E299" s="3" t="s">
        <v>63</v>
      </c>
      <c r="F299" s="3" t="s">
        <v>15</v>
      </c>
      <c r="G299" s="3" t="s">
        <v>38</v>
      </c>
      <c r="H299" s="3" t="s">
        <v>25</v>
      </c>
      <c r="I299" s="3" t="s">
        <v>56</v>
      </c>
      <c r="J299" s="3">
        <v>5</v>
      </c>
      <c r="K299" s="3">
        <v>1499</v>
      </c>
      <c r="L299" s="3">
        <v>0</v>
      </c>
      <c r="M299" s="3">
        <v>4958.34</v>
      </c>
      <c r="N299" s="3" t="s">
        <v>34</v>
      </c>
      <c r="O299" s="15">
        <f t="shared" si="27"/>
        <v>7495</v>
      </c>
      <c r="P299" s="20">
        <f t="shared" si="28"/>
        <v>0</v>
      </c>
      <c r="R299" s="25">
        <f t="shared" si="29"/>
        <v>37475</v>
      </c>
      <c r="S299" s="24">
        <f t="shared" si="30"/>
        <v>0</v>
      </c>
    </row>
    <row r="300" spans="1:19" ht="15.6" thickTop="1" thickBot="1" x14ac:dyDescent="0.35">
      <c r="A300" s="8" t="s">
        <v>561</v>
      </c>
      <c r="B300" s="14">
        <v>47155</v>
      </c>
      <c r="C300" s="14" t="str">
        <f t="shared" si="25"/>
        <v>2029</v>
      </c>
      <c r="D300" s="14" t="str">
        <f t="shared" si="26"/>
        <v>02</v>
      </c>
      <c r="E300" s="9" t="s">
        <v>37</v>
      </c>
      <c r="F300" s="9" t="s">
        <v>23</v>
      </c>
      <c r="G300" s="9" t="s">
        <v>16</v>
      </c>
      <c r="H300" s="9" t="s">
        <v>39</v>
      </c>
      <c r="I300" s="9" t="s">
        <v>66</v>
      </c>
      <c r="J300" s="9">
        <v>2</v>
      </c>
      <c r="K300" s="9">
        <v>1199</v>
      </c>
      <c r="L300" s="9">
        <v>0</v>
      </c>
      <c r="M300" s="9">
        <v>1319.68</v>
      </c>
      <c r="N300" s="9" t="s">
        <v>67</v>
      </c>
      <c r="O300" s="15">
        <f t="shared" si="27"/>
        <v>2398</v>
      </c>
      <c r="P300" s="20">
        <f t="shared" si="28"/>
        <v>0</v>
      </c>
      <c r="R300" s="25">
        <f t="shared" si="29"/>
        <v>4796</v>
      </c>
      <c r="S300" s="24">
        <f t="shared" si="30"/>
        <v>0</v>
      </c>
    </row>
    <row r="301" spans="1:19" ht="15.6" thickTop="1" thickBot="1" x14ac:dyDescent="0.35">
      <c r="A301" s="7" t="s">
        <v>562</v>
      </c>
      <c r="B301" s="14">
        <v>47156</v>
      </c>
      <c r="C301" s="14" t="str">
        <f t="shared" si="25"/>
        <v>2029</v>
      </c>
      <c r="D301" s="14" t="str">
        <f t="shared" si="26"/>
        <v>02</v>
      </c>
      <c r="E301" s="3" t="s">
        <v>82</v>
      </c>
      <c r="F301" s="3" t="s">
        <v>15</v>
      </c>
      <c r="G301" s="3" t="s">
        <v>47</v>
      </c>
      <c r="H301" s="3" t="s">
        <v>32</v>
      </c>
      <c r="I301" s="3" t="s">
        <v>103</v>
      </c>
      <c r="J301" s="3">
        <v>1</v>
      </c>
      <c r="K301" s="3">
        <v>499</v>
      </c>
      <c r="L301" s="3">
        <v>0.1</v>
      </c>
      <c r="M301" s="3">
        <v>396.77</v>
      </c>
      <c r="N301" s="3" t="s">
        <v>67</v>
      </c>
      <c r="O301" s="15">
        <f t="shared" si="27"/>
        <v>499</v>
      </c>
      <c r="P301" s="20">
        <f t="shared" si="28"/>
        <v>49.900000000000006</v>
      </c>
      <c r="R301" s="25">
        <f t="shared" si="29"/>
        <v>499</v>
      </c>
      <c r="S301" s="24">
        <f t="shared" si="30"/>
        <v>0</v>
      </c>
    </row>
    <row r="302" spans="1:19" ht="15.6" thickTop="1" thickBot="1" x14ac:dyDescent="0.35">
      <c r="A302" s="8" t="s">
        <v>563</v>
      </c>
      <c r="B302" s="14">
        <v>47157</v>
      </c>
      <c r="C302" s="14" t="str">
        <f t="shared" si="25"/>
        <v>2029</v>
      </c>
      <c r="D302" s="14" t="str">
        <f t="shared" si="26"/>
        <v>02</v>
      </c>
      <c r="E302" s="9" t="s">
        <v>82</v>
      </c>
      <c r="F302" s="9" t="s">
        <v>23</v>
      </c>
      <c r="G302" s="9" t="s">
        <v>24</v>
      </c>
      <c r="H302" s="9" t="s">
        <v>39</v>
      </c>
      <c r="I302" s="9" t="s">
        <v>66</v>
      </c>
      <c r="J302" s="9">
        <v>2</v>
      </c>
      <c r="K302" s="9">
        <v>1199</v>
      </c>
      <c r="L302" s="9">
        <v>0</v>
      </c>
      <c r="M302" s="9">
        <v>1393.14</v>
      </c>
      <c r="N302" s="9" t="s">
        <v>44</v>
      </c>
      <c r="O302" s="15">
        <f t="shared" si="27"/>
        <v>2398</v>
      </c>
      <c r="P302" s="20">
        <f t="shared" si="28"/>
        <v>0</v>
      </c>
      <c r="R302" s="25">
        <f t="shared" si="29"/>
        <v>4796</v>
      </c>
      <c r="S302" s="24">
        <f t="shared" si="30"/>
        <v>0</v>
      </c>
    </row>
    <row r="303" spans="1:19" ht="15.6" thickTop="1" thickBot="1" x14ac:dyDescent="0.35">
      <c r="A303" s="7" t="s">
        <v>564</v>
      </c>
      <c r="B303" s="14">
        <v>47158</v>
      </c>
      <c r="C303" s="14" t="str">
        <f t="shared" si="25"/>
        <v>2029</v>
      </c>
      <c r="D303" s="14" t="str">
        <f t="shared" si="26"/>
        <v>02</v>
      </c>
      <c r="E303" s="3" t="s">
        <v>82</v>
      </c>
      <c r="F303" s="3" t="s">
        <v>23</v>
      </c>
      <c r="G303" s="3" t="s">
        <v>31</v>
      </c>
      <c r="H303" s="3" t="s">
        <v>39</v>
      </c>
      <c r="I303" s="3" t="s">
        <v>48</v>
      </c>
      <c r="J303" s="3">
        <v>1</v>
      </c>
      <c r="K303" s="3">
        <v>799</v>
      </c>
      <c r="L303" s="3">
        <v>0.2</v>
      </c>
      <c r="M303" s="3">
        <v>595.26</v>
      </c>
      <c r="N303" s="3" t="s">
        <v>67</v>
      </c>
      <c r="O303" s="15">
        <f t="shared" si="27"/>
        <v>799</v>
      </c>
      <c r="P303" s="20">
        <f t="shared" si="28"/>
        <v>159.80000000000001</v>
      </c>
      <c r="R303" s="25">
        <f t="shared" si="29"/>
        <v>799</v>
      </c>
      <c r="S303" s="24">
        <f t="shared" si="30"/>
        <v>0</v>
      </c>
    </row>
    <row r="304" spans="1:19" ht="15.6" thickTop="1" thickBot="1" x14ac:dyDescent="0.35">
      <c r="A304" s="8" t="s">
        <v>565</v>
      </c>
      <c r="B304" s="14">
        <v>47159</v>
      </c>
      <c r="C304" s="14" t="str">
        <f t="shared" si="25"/>
        <v>2029</v>
      </c>
      <c r="D304" s="14" t="str">
        <f t="shared" si="26"/>
        <v>02</v>
      </c>
      <c r="E304" s="9" t="s">
        <v>30</v>
      </c>
      <c r="F304" s="9" t="s">
        <v>15</v>
      </c>
      <c r="G304" s="9" t="s">
        <v>59</v>
      </c>
      <c r="H304" s="9" t="s">
        <v>32</v>
      </c>
      <c r="I304" s="9" t="s">
        <v>60</v>
      </c>
      <c r="J304" s="9">
        <v>2</v>
      </c>
      <c r="K304" s="9">
        <v>1299</v>
      </c>
      <c r="L304" s="9">
        <v>0</v>
      </c>
      <c r="M304" s="9">
        <v>1538.03</v>
      </c>
      <c r="N304" s="9" t="s">
        <v>27</v>
      </c>
      <c r="O304" s="15">
        <f t="shared" si="27"/>
        <v>2598</v>
      </c>
      <c r="P304" s="20">
        <f t="shared" si="28"/>
        <v>0</v>
      </c>
      <c r="R304" s="25">
        <f t="shared" si="29"/>
        <v>5196</v>
      </c>
      <c r="S304" s="24">
        <f t="shared" si="30"/>
        <v>0</v>
      </c>
    </row>
    <row r="305" spans="1:19" ht="15.6" thickTop="1" thickBot="1" x14ac:dyDescent="0.35">
      <c r="A305" s="7" t="s">
        <v>567</v>
      </c>
      <c r="B305" s="14">
        <v>47160</v>
      </c>
      <c r="C305" s="14" t="str">
        <f t="shared" si="25"/>
        <v>2029</v>
      </c>
      <c r="D305" s="14" t="str">
        <f t="shared" si="26"/>
        <v>02</v>
      </c>
      <c r="E305" s="3" t="s">
        <v>37</v>
      </c>
      <c r="F305" s="3" t="s">
        <v>23</v>
      </c>
      <c r="G305" s="3" t="s">
        <v>59</v>
      </c>
      <c r="H305" s="3" t="s">
        <v>17</v>
      </c>
      <c r="I305" s="3" t="s">
        <v>18</v>
      </c>
      <c r="J305" s="3">
        <v>4</v>
      </c>
      <c r="K305" s="3">
        <v>420</v>
      </c>
      <c r="L305" s="3">
        <v>0.1</v>
      </c>
      <c r="M305" s="3">
        <v>1248.8900000000001</v>
      </c>
      <c r="N305" s="3" t="s">
        <v>34</v>
      </c>
      <c r="O305" s="15">
        <f t="shared" si="27"/>
        <v>1680</v>
      </c>
      <c r="P305" s="20">
        <f t="shared" si="28"/>
        <v>168</v>
      </c>
      <c r="R305" s="25">
        <f t="shared" si="29"/>
        <v>6720</v>
      </c>
      <c r="S305" s="24">
        <f t="shared" si="30"/>
        <v>0</v>
      </c>
    </row>
    <row r="306" spans="1:19" ht="15.6" thickTop="1" thickBot="1" x14ac:dyDescent="0.35">
      <c r="A306" s="8" t="s">
        <v>568</v>
      </c>
      <c r="B306" s="14">
        <v>47161</v>
      </c>
      <c r="C306" s="14" t="str">
        <f t="shared" si="25"/>
        <v>2029</v>
      </c>
      <c r="D306" s="14" t="str">
        <f t="shared" si="26"/>
        <v>02</v>
      </c>
      <c r="E306" s="9" t="s">
        <v>22</v>
      </c>
      <c r="F306" s="9" t="s">
        <v>23</v>
      </c>
      <c r="G306" s="9" t="s">
        <v>16</v>
      </c>
      <c r="H306" s="9" t="s">
        <v>25</v>
      </c>
      <c r="I306" s="9" t="s">
        <v>56</v>
      </c>
      <c r="J306" s="9">
        <v>4</v>
      </c>
      <c r="K306" s="9">
        <v>1499</v>
      </c>
      <c r="L306" s="9">
        <v>0.2</v>
      </c>
      <c r="M306" s="9">
        <v>4389.54</v>
      </c>
      <c r="N306" s="9" t="s">
        <v>34</v>
      </c>
      <c r="O306" s="15">
        <f t="shared" si="27"/>
        <v>5996</v>
      </c>
      <c r="P306" s="20">
        <f t="shared" si="28"/>
        <v>1199.2</v>
      </c>
      <c r="R306" s="25">
        <f t="shared" si="29"/>
        <v>23984</v>
      </c>
      <c r="S306" s="24">
        <f t="shared" si="30"/>
        <v>0</v>
      </c>
    </row>
    <row r="307" spans="1:19" ht="15.6" thickTop="1" thickBot="1" x14ac:dyDescent="0.35">
      <c r="A307" s="7" t="s">
        <v>569</v>
      </c>
      <c r="B307" s="14">
        <v>47162</v>
      </c>
      <c r="C307" s="14" t="str">
        <f t="shared" si="25"/>
        <v>2029</v>
      </c>
      <c r="D307" s="14" t="str">
        <f t="shared" si="26"/>
        <v>02</v>
      </c>
      <c r="E307" s="3" t="s">
        <v>63</v>
      </c>
      <c r="F307" s="3" t="s">
        <v>15</v>
      </c>
      <c r="G307" s="3" t="s">
        <v>31</v>
      </c>
      <c r="H307" s="3" t="s">
        <v>32</v>
      </c>
      <c r="I307" s="3" t="s">
        <v>97</v>
      </c>
      <c r="J307" s="3">
        <v>2</v>
      </c>
      <c r="K307" s="3">
        <v>899</v>
      </c>
      <c r="L307" s="3">
        <v>0.05</v>
      </c>
      <c r="M307" s="3">
        <v>1258.3699999999999</v>
      </c>
      <c r="N307" s="3" t="s">
        <v>19</v>
      </c>
      <c r="O307" s="15">
        <f t="shared" si="27"/>
        <v>1798</v>
      </c>
      <c r="P307" s="20">
        <f t="shared" si="28"/>
        <v>89.9</v>
      </c>
      <c r="R307" s="25">
        <f t="shared" si="29"/>
        <v>3596</v>
      </c>
      <c r="S307" s="24">
        <f t="shared" si="30"/>
        <v>0</v>
      </c>
    </row>
    <row r="308" spans="1:19" ht="15.6" thickTop="1" thickBot="1" x14ac:dyDescent="0.35">
      <c r="A308" s="8" t="s">
        <v>571</v>
      </c>
      <c r="B308" s="14">
        <v>47163</v>
      </c>
      <c r="C308" s="14" t="str">
        <f t="shared" si="25"/>
        <v>2029</v>
      </c>
      <c r="D308" s="14" t="str">
        <f t="shared" si="26"/>
        <v>02</v>
      </c>
      <c r="E308" s="9" t="s">
        <v>76</v>
      </c>
      <c r="F308" s="9" t="s">
        <v>15</v>
      </c>
      <c r="G308" s="9" t="s">
        <v>38</v>
      </c>
      <c r="H308" s="9" t="s">
        <v>17</v>
      </c>
      <c r="I308" s="9" t="s">
        <v>18</v>
      </c>
      <c r="J308" s="9">
        <v>7</v>
      </c>
      <c r="K308" s="9">
        <v>420</v>
      </c>
      <c r="L308" s="9">
        <v>0.2</v>
      </c>
      <c r="M308" s="9">
        <v>1988.2</v>
      </c>
      <c r="N308" s="9" t="s">
        <v>19</v>
      </c>
      <c r="O308" s="15">
        <f t="shared" si="27"/>
        <v>2940</v>
      </c>
      <c r="P308" s="20">
        <f t="shared" si="28"/>
        <v>588</v>
      </c>
      <c r="R308" s="25">
        <f t="shared" si="29"/>
        <v>20580</v>
      </c>
      <c r="S308" s="24">
        <f t="shared" si="30"/>
        <v>0</v>
      </c>
    </row>
    <row r="309" spans="1:19" ht="15.6" thickTop="1" thickBot="1" x14ac:dyDescent="0.35">
      <c r="A309" s="7" t="s">
        <v>572</v>
      </c>
      <c r="B309" s="14">
        <v>47164</v>
      </c>
      <c r="C309" s="14" t="str">
        <f t="shared" si="25"/>
        <v>2029</v>
      </c>
      <c r="D309" s="14" t="str">
        <f t="shared" si="26"/>
        <v>02</v>
      </c>
      <c r="E309" s="3" t="s">
        <v>82</v>
      </c>
      <c r="F309" s="3" t="s">
        <v>23</v>
      </c>
      <c r="G309" s="3" t="s">
        <v>24</v>
      </c>
      <c r="H309" s="3" t="s">
        <v>25</v>
      </c>
      <c r="I309" s="3" t="s">
        <v>70</v>
      </c>
      <c r="J309" s="3">
        <v>2</v>
      </c>
      <c r="K309" s="3">
        <v>1299</v>
      </c>
      <c r="L309" s="3">
        <v>0</v>
      </c>
      <c r="M309" s="3">
        <v>1633.25</v>
      </c>
      <c r="N309" s="3" t="s">
        <v>27</v>
      </c>
      <c r="O309" s="15">
        <f t="shared" si="27"/>
        <v>2598</v>
      </c>
      <c r="P309" s="20">
        <f t="shared" si="28"/>
        <v>0</v>
      </c>
      <c r="R309" s="25">
        <f t="shared" si="29"/>
        <v>5196</v>
      </c>
      <c r="S309" s="24">
        <f t="shared" si="30"/>
        <v>0</v>
      </c>
    </row>
    <row r="310" spans="1:19" ht="15.6" thickTop="1" thickBot="1" x14ac:dyDescent="0.35">
      <c r="A310" s="8" t="s">
        <v>573</v>
      </c>
      <c r="B310" s="14">
        <v>47165</v>
      </c>
      <c r="C310" s="14" t="str">
        <f t="shared" si="25"/>
        <v>2029</v>
      </c>
      <c r="D310" s="14" t="str">
        <f t="shared" si="26"/>
        <v>02</v>
      </c>
      <c r="E310" s="9" t="s">
        <v>37</v>
      </c>
      <c r="F310" s="9" t="s">
        <v>23</v>
      </c>
      <c r="G310" s="9" t="s">
        <v>16</v>
      </c>
      <c r="H310" s="9" t="s">
        <v>32</v>
      </c>
      <c r="I310" s="9" t="s">
        <v>97</v>
      </c>
      <c r="J310" s="9">
        <v>7</v>
      </c>
      <c r="K310" s="9">
        <v>899</v>
      </c>
      <c r="L310" s="9">
        <v>0</v>
      </c>
      <c r="M310" s="9">
        <v>4670.42</v>
      </c>
      <c r="N310" s="9" t="s">
        <v>19</v>
      </c>
      <c r="O310" s="15">
        <f t="shared" si="27"/>
        <v>6293</v>
      </c>
      <c r="P310" s="20">
        <f t="shared" si="28"/>
        <v>0</v>
      </c>
      <c r="R310" s="25">
        <f t="shared" si="29"/>
        <v>44051</v>
      </c>
      <c r="S310" s="24">
        <f t="shared" si="30"/>
        <v>0</v>
      </c>
    </row>
    <row r="311" spans="1:19" ht="15.6" thickTop="1" thickBot="1" x14ac:dyDescent="0.35">
      <c r="A311" s="7" t="s">
        <v>574</v>
      </c>
      <c r="B311" s="14">
        <v>47166</v>
      </c>
      <c r="C311" s="14" t="str">
        <f t="shared" si="25"/>
        <v>2029</v>
      </c>
      <c r="D311" s="14" t="str">
        <f t="shared" si="26"/>
        <v>02</v>
      </c>
      <c r="E311" s="3" t="s">
        <v>82</v>
      </c>
      <c r="F311" s="3" t="s">
        <v>23</v>
      </c>
      <c r="G311" s="3" t="s">
        <v>24</v>
      </c>
      <c r="H311" s="3" t="s">
        <v>17</v>
      </c>
      <c r="I311" s="3" t="s">
        <v>89</v>
      </c>
      <c r="J311" s="3">
        <v>4</v>
      </c>
      <c r="K311" s="3">
        <v>650</v>
      </c>
      <c r="L311" s="3">
        <v>0.05</v>
      </c>
      <c r="M311" s="3">
        <v>1848.38</v>
      </c>
      <c r="N311" s="3" t="s">
        <v>67</v>
      </c>
      <c r="O311" s="15">
        <f t="shared" si="27"/>
        <v>2600</v>
      </c>
      <c r="P311" s="20">
        <f t="shared" si="28"/>
        <v>130</v>
      </c>
      <c r="R311" s="25">
        <f t="shared" si="29"/>
        <v>10400</v>
      </c>
      <c r="S311" s="24">
        <f t="shared" si="30"/>
        <v>0</v>
      </c>
    </row>
    <row r="312" spans="1:19" ht="15.6" thickTop="1" thickBot="1" x14ac:dyDescent="0.35">
      <c r="A312" s="8" t="s">
        <v>575</v>
      </c>
      <c r="B312" s="14">
        <v>47167</v>
      </c>
      <c r="C312" s="14" t="str">
        <f t="shared" si="25"/>
        <v>2029</v>
      </c>
      <c r="D312" s="14" t="str">
        <f t="shared" si="26"/>
        <v>02</v>
      </c>
      <c r="E312" s="9" t="s">
        <v>14</v>
      </c>
      <c r="F312" s="9" t="s">
        <v>23</v>
      </c>
      <c r="G312" s="9" t="s">
        <v>16</v>
      </c>
      <c r="H312" s="9" t="s">
        <v>32</v>
      </c>
      <c r="I312" s="9" t="s">
        <v>60</v>
      </c>
      <c r="J312" s="9">
        <v>1</v>
      </c>
      <c r="K312" s="9">
        <v>1299</v>
      </c>
      <c r="L312" s="9">
        <v>0.05</v>
      </c>
      <c r="M312" s="9">
        <v>748.05</v>
      </c>
      <c r="N312" s="9" t="s">
        <v>67</v>
      </c>
      <c r="O312" s="15">
        <f t="shared" si="27"/>
        <v>1299</v>
      </c>
      <c r="P312" s="20">
        <f t="shared" si="28"/>
        <v>64.95</v>
      </c>
      <c r="R312" s="25">
        <f t="shared" si="29"/>
        <v>1299</v>
      </c>
      <c r="S312" s="24">
        <f t="shared" si="30"/>
        <v>0</v>
      </c>
    </row>
    <row r="313" spans="1:19" ht="15.6" thickTop="1" thickBot="1" x14ac:dyDescent="0.35">
      <c r="A313" s="7" t="s">
        <v>577</v>
      </c>
      <c r="B313" s="14">
        <v>47168</v>
      </c>
      <c r="C313" s="14" t="str">
        <f t="shared" si="25"/>
        <v>2029</v>
      </c>
      <c r="D313" s="14" t="str">
        <f t="shared" si="26"/>
        <v>02</v>
      </c>
      <c r="E313" s="3" t="s">
        <v>73</v>
      </c>
      <c r="F313" s="3" t="s">
        <v>15</v>
      </c>
      <c r="G313" s="3" t="s">
        <v>38</v>
      </c>
      <c r="H313" s="3" t="s">
        <v>39</v>
      </c>
      <c r="I313" s="3" t="s">
        <v>48</v>
      </c>
      <c r="J313" s="3">
        <v>1</v>
      </c>
      <c r="K313" s="3">
        <v>799</v>
      </c>
      <c r="L313" s="3">
        <v>0.05</v>
      </c>
      <c r="M313" s="3">
        <v>607.6</v>
      </c>
      <c r="N313" s="3" t="s">
        <v>34</v>
      </c>
      <c r="O313" s="15">
        <f t="shared" si="27"/>
        <v>799</v>
      </c>
      <c r="P313" s="20">
        <f t="shared" si="28"/>
        <v>39.950000000000003</v>
      </c>
      <c r="R313" s="25">
        <f t="shared" si="29"/>
        <v>799</v>
      </c>
      <c r="S313" s="24">
        <f t="shared" si="30"/>
        <v>0</v>
      </c>
    </row>
    <row r="314" spans="1:19" ht="15.6" thickTop="1" thickBot="1" x14ac:dyDescent="0.35">
      <c r="A314" s="8" t="s">
        <v>579</v>
      </c>
      <c r="B314" s="14">
        <v>47169</v>
      </c>
      <c r="C314" s="14" t="str">
        <f t="shared" si="25"/>
        <v>2029</v>
      </c>
      <c r="D314" s="14" t="str">
        <f t="shared" si="26"/>
        <v>02</v>
      </c>
      <c r="E314" s="9" t="s">
        <v>43</v>
      </c>
      <c r="F314" s="9" t="s">
        <v>23</v>
      </c>
      <c r="G314" s="9" t="s">
        <v>31</v>
      </c>
      <c r="H314" s="9" t="s">
        <v>17</v>
      </c>
      <c r="I314" s="9" t="s">
        <v>18</v>
      </c>
      <c r="J314" s="9">
        <v>5</v>
      </c>
      <c r="K314" s="9">
        <v>420</v>
      </c>
      <c r="L314" s="9">
        <v>0</v>
      </c>
      <c r="M314" s="9">
        <v>1641</v>
      </c>
      <c r="N314" s="9" t="s">
        <v>27</v>
      </c>
      <c r="O314" s="15">
        <f t="shared" si="27"/>
        <v>2100</v>
      </c>
      <c r="P314" s="20">
        <f t="shared" si="28"/>
        <v>0</v>
      </c>
      <c r="R314" s="25">
        <f t="shared" si="29"/>
        <v>10500</v>
      </c>
      <c r="S314" s="24">
        <f t="shared" si="30"/>
        <v>0</v>
      </c>
    </row>
    <row r="315" spans="1:19" ht="15.6" thickTop="1" thickBot="1" x14ac:dyDescent="0.35">
      <c r="A315" s="7" t="s">
        <v>581</v>
      </c>
      <c r="B315" s="14">
        <v>47170</v>
      </c>
      <c r="C315" s="14" t="str">
        <f t="shared" si="25"/>
        <v>2029</v>
      </c>
      <c r="D315" s="14" t="str">
        <f t="shared" si="26"/>
        <v>02</v>
      </c>
      <c r="E315" s="3" t="s">
        <v>37</v>
      </c>
      <c r="F315" s="3" t="s">
        <v>23</v>
      </c>
      <c r="G315" s="3" t="s">
        <v>47</v>
      </c>
      <c r="H315" s="3" t="s">
        <v>25</v>
      </c>
      <c r="I315" s="3" t="s">
        <v>56</v>
      </c>
      <c r="J315" s="3">
        <v>2</v>
      </c>
      <c r="K315" s="3">
        <v>1499</v>
      </c>
      <c r="L315" s="3">
        <v>0.15</v>
      </c>
      <c r="M315" s="3">
        <v>2058.3000000000002</v>
      </c>
      <c r="N315" s="3" t="s">
        <v>44</v>
      </c>
      <c r="O315" s="15">
        <f t="shared" si="27"/>
        <v>2998</v>
      </c>
      <c r="P315" s="20">
        <f t="shared" si="28"/>
        <v>449.7</v>
      </c>
      <c r="R315" s="25">
        <f t="shared" si="29"/>
        <v>5996</v>
      </c>
      <c r="S315" s="24">
        <f t="shared" si="30"/>
        <v>0</v>
      </c>
    </row>
    <row r="316" spans="1:19" ht="15.6" thickTop="1" thickBot="1" x14ac:dyDescent="0.35">
      <c r="A316" s="8" t="s">
        <v>583</v>
      </c>
      <c r="B316" s="14">
        <v>47171</v>
      </c>
      <c r="C316" s="14" t="str">
        <f t="shared" si="25"/>
        <v>2029</v>
      </c>
      <c r="D316" s="14" t="str">
        <f t="shared" si="26"/>
        <v>02</v>
      </c>
      <c r="E316" s="9" t="s">
        <v>73</v>
      </c>
      <c r="F316" s="9" t="s">
        <v>15</v>
      </c>
      <c r="G316" s="9" t="s">
        <v>38</v>
      </c>
      <c r="H316" s="9" t="s">
        <v>39</v>
      </c>
      <c r="I316" s="9" t="s">
        <v>106</v>
      </c>
      <c r="J316" s="9">
        <v>2</v>
      </c>
      <c r="K316" s="9">
        <v>999</v>
      </c>
      <c r="L316" s="9">
        <v>0.2</v>
      </c>
      <c r="M316" s="9">
        <v>1502.97</v>
      </c>
      <c r="N316" s="9" t="s">
        <v>27</v>
      </c>
      <c r="O316" s="15">
        <f t="shared" si="27"/>
        <v>1998</v>
      </c>
      <c r="P316" s="20">
        <f t="shared" si="28"/>
        <v>399.6</v>
      </c>
      <c r="R316" s="25">
        <f t="shared" si="29"/>
        <v>3996</v>
      </c>
      <c r="S316" s="24">
        <f t="shared" si="30"/>
        <v>0</v>
      </c>
    </row>
    <row r="317" spans="1:19" ht="15.6" thickTop="1" thickBot="1" x14ac:dyDescent="0.35">
      <c r="A317" s="7" t="s">
        <v>585</v>
      </c>
      <c r="B317" s="14">
        <v>47172</v>
      </c>
      <c r="C317" s="14" t="str">
        <f t="shared" si="25"/>
        <v>2029</v>
      </c>
      <c r="D317" s="14" t="str">
        <f t="shared" si="26"/>
        <v>02</v>
      </c>
      <c r="E317" s="3" t="s">
        <v>76</v>
      </c>
      <c r="F317" s="3" t="s">
        <v>15</v>
      </c>
      <c r="G317" s="3" t="s">
        <v>24</v>
      </c>
      <c r="H317" s="3" t="s">
        <v>25</v>
      </c>
      <c r="I317" s="3" t="s">
        <v>79</v>
      </c>
      <c r="J317" s="3">
        <v>1</v>
      </c>
      <c r="K317" s="3">
        <v>899</v>
      </c>
      <c r="L317" s="3">
        <v>0.15</v>
      </c>
      <c r="M317" s="3">
        <v>592.61</v>
      </c>
      <c r="N317" s="3" t="s">
        <v>34</v>
      </c>
      <c r="O317" s="15">
        <f t="shared" si="27"/>
        <v>899</v>
      </c>
      <c r="P317" s="20">
        <f t="shared" si="28"/>
        <v>134.85</v>
      </c>
      <c r="R317" s="25">
        <f t="shared" si="29"/>
        <v>899</v>
      </c>
      <c r="S317" s="24">
        <f t="shared" si="30"/>
        <v>0</v>
      </c>
    </row>
    <row r="318" spans="1:19" ht="15.6" thickTop="1" thickBot="1" x14ac:dyDescent="0.35">
      <c r="A318" s="8" t="s">
        <v>586</v>
      </c>
      <c r="B318" s="14">
        <v>47173</v>
      </c>
      <c r="C318" s="14" t="str">
        <f t="shared" si="25"/>
        <v>2029</v>
      </c>
      <c r="D318" s="14" t="str">
        <f t="shared" si="26"/>
        <v>02</v>
      </c>
      <c r="E318" s="9" t="s">
        <v>92</v>
      </c>
      <c r="F318" s="9" t="s">
        <v>23</v>
      </c>
      <c r="G318" s="9" t="s">
        <v>31</v>
      </c>
      <c r="H318" s="9" t="s">
        <v>17</v>
      </c>
      <c r="I318" s="9" t="s">
        <v>18</v>
      </c>
      <c r="J318" s="9">
        <v>7</v>
      </c>
      <c r="K318" s="9">
        <v>420</v>
      </c>
      <c r="L318" s="9">
        <v>0.1</v>
      </c>
      <c r="M318" s="9">
        <v>1856.25</v>
      </c>
      <c r="N318" s="9" t="s">
        <v>27</v>
      </c>
      <c r="O318" s="15">
        <f t="shared" si="27"/>
        <v>2940</v>
      </c>
      <c r="P318" s="20">
        <f t="shared" si="28"/>
        <v>294</v>
      </c>
      <c r="R318" s="25">
        <f t="shared" si="29"/>
        <v>20580</v>
      </c>
      <c r="S318" s="24">
        <f t="shared" si="30"/>
        <v>0</v>
      </c>
    </row>
    <row r="319" spans="1:19" ht="15.6" thickTop="1" thickBot="1" x14ac:dyDescent="0.35">
      <c r="A319" s="7" t="s">
        <v>588</v>
      </c>
      <c r="B319" s="14">
        <v>47174</v>
      </c>
      <c r="C319" s="14" t="str">
        <f t="shared" si="25"/>
        <v>2029</v>
      </c>
      <c r="D319" s="14" t="str">
        <f t="shared" si="26"/>
        <v>02</v>
      </c>
      <c r="E319" s="3" t="s">
        <v>43</v>
      </c>
      <c r="F319" s="3" t="s">
        <v>15</v>
      </c>
      <c r="G319" s="3" t="s">
        <v>47</v>
      </c>
      <c r="H319" s="3" t="s">
        <v>25</v>
      </c>
      <c r="I319" s="3" t="s">
        <v>79</v>
      </c>
      <c r="J319" s="3">
        <v>4</v>
      </c>
      <c r="K319" s="3">
        <v>899</v>
      </c>
      <c r="L319" s="3">
        <v>0.2</v>
      </c>
      <c r="M319" s="3">
        <v>3036.55</v>
      </c>
      <c r="N319" s="3" t="s">
        <v>67</v>
      </c>
      <c r="O319" s="15">
        <f t="shared" si="27"/>
        <v>3596</v>
      </c>
      <c r="P319" s="20">
        <f t="shared" si="28"/>
        <v>719.2</v>
      </c>
      <c r="R319" s="25">
        <f t="shared" si="29"/>
        <v>14384</v>
      </c>
      <c r="S319" s="24">
        <f t="shared" si="30"/>
        <v>0</v>
      </c>
    </row>
    <row r="320" spans="1:19" ht="15.6" thickTop="1" thickBot="1" x14ac:dyDescent="0.35">
      <c r="A320" s="8" t="s">
        <v>590</v>
      </c>
      <c r="B320" s="14">
        <v>47175</v>
      </c>
      <c r="C320" s="14" t="str">
        <f t="shared" si="25"/>
        <v>2029</v>
      </c>
      <c r="D320" s="14" t="str">
        <f t="shared" si="26"/>
        <v>02</v>
      </c>
      <c r="E320" s="9" t="s">
        <v>73</v>
      </c>
      <c r="F320" s="9" t="s">
        <v>23</v>
      </c>
      <c r="G320" s="9" t="s">
        <v>38</v>
      </c>
      <c r="H320" s="9" t="s">
        <v>17</v>
      </c>
      <c r="I320" s="9" t="s">
        <v>89</v>
      </c>
      <c r="J320" s="9">
        <v>8</v>
      </c>
      <c r="K320" s="9">
        <v>650</v>
      </c>
      <c r="L320" s="9">
        <v>0</v>
      </c>
      <c r="M320" s="9">
        <v>3435.51</v>
      </c>
      <c r="N320" s="9" t="s">
        <v>44</v>
      </c>
      <c r="O320" s="15">
        <f t="shared" si="27"/>
        <v>5200</v>
      </c>
      <c r="P320" s="20">
        <f t="shared" si="28"/>
        <v>0</v>
      </c>
      <c r="R320" s="25">
        <f t="shared" si="29"/>
        <v>41600</v>
      </c>
      <c r="S320" s="24">
        <f t="shared" si="30"/>
        <v>0</v>
      </c>
    </row>
    <row r="321" spans="1:19" ht="15.6" thickTop="1" thickBot="1" x14ac:dyDescent="0.35">
      <c r="A321" s="7" t="s">
        <v>592</v>
      </c>
      <c r="B321" s="14">
        <v>47176</v>
      </c>
      <c r="C321" s="14" t="str">
        <f t="shared" si="25"/>
        <v>2029</v>
      </c>
      <c r="D321" s="14" t="str">
        <f t="shared" si="26"/>
        <v>02</v>
      </c>
      <c r="E321" s="3" t="s">
        <v>63</v>
      </c>
      <c r="F321" s="3" t="s">
        <v>15</v>
      </c>
      <c r="G321" s="3" t="s">
        <v>59</v>
      </c>
      <c r="H321" s="3" t="s">
        <v>17</v>
      </c>
      <c r="I321" s="3" t="s">
        <v>74</v>
      </c>
      <c r="J321" s="3">
        <v>8</v>
      </c>
      <c r="K321" s="3">
        <v>240</v>
      </c>
      <c r="L321" s="3">
        <v>0.05</v>
      </c>
      <c r="M321" s="3">
        <v>1477.9</v>
      </c>
      <c r="N321" s="3" t="s">
        <v>19</v>
      </c>
      <c r="O321" s="15">
        <f t="shared" si="27"/>
        <v>1920</v>
      </c>
      <c r="P321" s="20">
        <f t="shared" si="28"/>
        <v>96</v>
      </c>
      <c r="R321" s="25">
        <f t="shared" si="29"/>
        <v>15360</v>
      </c>
      <c r="S321" s="24">
        <f t="shared" si="30"/>
        <v>0</v>
      </c>
    </row>
    <row r="322" spans="1:19" ht="15.6" thickTop="1" thickBot="1" x14ac:dyDescent="0.35">
      <c r="A322" s="8" t="s">
        <v>593</v>
      </c>
      <c r="B322" s="14">
        <v>47177</v>
      </c>
      <c r="C322" s="14" t="str">
        <f t="shared" si="25"/>
        <v>2029</v>
      </c>
      <c r="D322" s="14" t="str">
        <f t="shared" si="26"/>
        <v>02</v>
      </c>
      <c r="E322" s="9" t="s">
        <v>82</v>
      </c>
      <c r="F322" s="9" t="s">
        <v>15</v>
      </c>
      <c r="G322" s="9" t="s">
        <v>59</v>
      </c>
      <c r="H322" s="9" t="s">
        <v>25</v>
      </c>
      <c r="I322" s="9" t="s">
        <v>79</v>
      </c>
      <c r="J322" s="9">
        <v>6</v>
      </c>
      <c r="K322" s="9">
        <v>899</v>
      </c>
      <c r="L322" s="9">
        <v>0</v>
      </c>
      <c r="M322" s="9">
        <v>4505.59</v>
      </c>
      <c r="N322" s="9" t="s">
        <v>27</v>
      </c>
      <c r="O322" s="15">
        <f t="shared" si="27"/>
        <v>5394</v>
      </c>
      <c r="P322" s="20">
        <f t="shared" si="28"/>
        <v>0</v>
      </c>
      <c r="R322" s="25">
        <f t="shared" si="29"/>
        <v>32364</v>
      </c>
      <c r="S322" s="24">
        <f t="shared" si="30"/>
        <v>0</v>
      </c>
    </row>
    <row r="323" spans="1:19" ht="15.6" thickTop="1" thickBot="1" x14ac:dyDescent="0.35">
      <c r="A323" s="7" t="s">
        <v>594</v>
      </c>
      <c r="B323" s="14">
        <v>47178</v>
      </c>
      <c r="C323" s="14" t="str">
        <f t="shared" ref="C323:C386" si="31">TEXT(B323,"YYYY")</f>
        <v>2029</v>
      </c>
      <c r="D323" s="14" t="str">
        <f t="shared" ref="D323:D386" si="32">TEXT(B323,"MM")</f>
        <v>03</v>
      </c>
      <c r="E323" s="3" t="s">
        <v>37</v>
      </c>
      <c r="F323" s="3" t="s">
        <v>23</v>
      </c>
      <c r="G323" s="3" t="s">
        <v>24</v>
      </c>
      <c r="H323" s="3" t="s">
        <v>39</v>
      </c>
      <c r="I323" s="3" t="s">
        <v>210</v>
      </c>
      <c r="J323" s="3">
        <v>4</v>
      </c>
      <c r="K323" s="3">
        <v>1999</v>
      </c>
      <c r="L323" s="3">
        <v>0.15</v>
      </c>
      <c r="M323" s="3">
        <v>5578.08</v>
      </c>
      <c r="N323" s="3" t="s">
        <v>27</v>
      </c>
      <c r="O323" s="15">
        <f t="shared" ref="O323:O386" si="33">J323*K323</f>
        <v>7996</v>
      </c>
      <c r="P323" s="20">
        <f t="shared" ref="P323:P386" si="34">O323*L323</f>
        <v>1199.3999999999999</v>
      </c>
      <c r="R323" s="25">
        <f t="shared" ref="R323:R386" si="35">J323*(O323)</f>
        <v>31984</v>
      </c>
      <c r="S323" s="24">
        <f t="shared" ref="S323:S386" si="36">IFERROR(R323 / Q323,0)</f>
        <v>0</v>
      </c>
    </row>
    <row r="324" spans="1:19" ht="15.6" thickTop="1" thickBot="1" x14ac:dyDescent="0.35">
      <c r="A324" s="8" t="s">
        <v>596</v>
      </c>
      <c r="B324" s="14">
        <v>47179</v>
      </c>
      <c r="C324" s="14" t="str">
        <f t="shared" si="31"/>
        <v>2029</v>
      </c>
      <c r="D324" s="14" t="str">
        <f t="shared" si="32"/>
        <v>03</v>
      </c>
      <c r="E324" s="9" t="s">
        <v>63</v>
      </c>
      <c r="F324" s="9" t="s">
        <v>15</v>
      </c>
      <c r="G324" s="9" t="s">
        <v>24</v>
      </c>
      <c r="H324" s="9" t="s">
        <v>39</v>
      </c>
      <c r="I324" s="9" t="s">
        <v>210</v>
      </c>
      <c r="J324" s="9">
        <v>7</v>
      </c>
      <c r="K324" s="9">
        <v>1999</v>
      </c>
      <c r="L324" s="9">
        <v>0.1</v>
      </c>
      <c r="M324" s="9">
        <v>9620.7099999999991</v>
      </c>
      <c r="N324" s="9" t="s">
        <v>27</v>
      </c>
      <c r="O324" s="15">
        <f t="shared" si="33"/>
        <v>13993</v>
      </c>
      <c r="P324" s="20">
        <f t="shared" si="34"/>
        <v>1399.3000000000002</v>
      </c>
      <c r="R324" s="25">
        <f t="shared" si="35"/>
        <v>97951</v>
      </c>
      <c r="S324" s="24">
        <f t="shared" si="36"/>
        <v>0</v>
      </c>
    </row>
    <row r="325" spans="1:19" ht="15.6" thickTop="1" thickBot="1" x14ac:dyDescent="0.35">
      <c r="A325" s="7" t="s">
        <v>598</v>
      </c>
      <c r="B325" s="14">
        <v>47180</v>
      </c>
      <c r="C325" s="14" t="str">
        <f t="shared" si="31"/>
        <v>2029</v>
      </c>
      <c r="D325" s="14" t="str">
        <f t="shared" si="32"/>
        <v>03</v>
      </c>
      <c r="E325" s="3" t="s">
        <v>14</v>
      </c>
      <c r="F325" s="3" t="s">
        <v>15</v>
      </c>
      <c r="G325" s="3" t="s">
        <v>16</v>
      </c>
      <c r="H325" s="3" t="s">
        <v>32</v>
      </c>
      <c r="I325" s="3" t="s">
        <v>103</v>
      </c>
      <c r="J325" s="3">
        <v>1</v>
      </c>
      <c r="K325" s="3">
        <v>499</v>
      </c>
      <c r="L325" s="3">
        <v>0.15</v>
      </c>
      <c r="M325" s="3">
        <v>373.62</v>
      </c>
      <c r="N325" s="3" t="s">
        <v>34</v>
      </c>
      <c r="O325" s="15">
        <f t="shared" si="33"/>
        <v>499</v>
      </c>
      <c r="P325" s="20">
        <f t="shared" si="34"/>
        <v>74.849999999999994</v>
      </c>
      <c r="R325" s="25">
        <f t="shared" si="35"/>
        <v>499</v>
      </c>
      <c r="S325" s="24">
        <f t="shared" si="36"/>
        <v>0</v>
      </c>
    </row>
    <row r="326" spans="1:19" ht="15.6" thickTop="1" thickBot="1" x14ac:dyDescent="0.35">
      <c r="A326" s="8" t="s">
        <v>599</v>
      </c>
      <c r="B326" s="14">
        <v>47181</v>
      </c>
      <c r="C326" s="14" t="str">
        <f t="shared" si="31"/>
        <v>2029</v>
      </c>
      <c r="D326" s="14" t="str">
        <f t="shared" si="32"/>
        <v>03</v>
      </c>
      <c r="E326" s="9" t="s">
        <v>63</v>
      </c>
      <c r="F326" s="9" t="s">
        <v>23</v>
      </c>
      <c r="G326" s="9" t="s">
        <v>38</v>
      </c>
      <c r="H326" s="9" t="s">
        <v>32</v>
      </c>
      <c r="I326" s="9" t="s">
        <v>51</v>
      </c>
      <c r="J326" s="9">
        <v>6</v>
      </c>
      <c r="K326" s="9">
        <v>699</v>
      </c>
      <c r="L326" s="9">
        <v>0.15</v>
      </c>
      <c r="M326" s="9">
        <v>2648.87</v>
      </c>
      <c r="N326" s="9" t="s">
        <v>27</v>
      </c>
      <c r="O326" s="15">
        <f t="shared" si="33"/>
        <v>4194</v>
      </c>
      <c r="P326" s="20">
        <f t="shared" si="34"/>
        <v>629.1</v>
      </c>
      <c r="R326" s="25">
        <f t="shared" si="35"/>
        <v>25164</v>
      </c>
      <c r="S326" s="24">
        <f t="shared" si="36"/>
        <v>0</v>
      </c>
    </row>
    <row r="327" spans="1:19" ht="15.6" thickTop="1" thickBot="1" x14ac:dyDescent="0.35">
      <c r="A327" s="7" t="s">
        <v>601</v>
      </c>
      <c r="B327" s="14">
        <v>47182</v>
      </c>
      <c r="C327" s="14" t="str">
        <f t="shared" si="31"/>
        <v>2029</v>
      </c>
      <c r="D327" s="14" t="str">
        <f t="shared" si="32"/>
        <v>03</v>
      </c>
      <c r="E327" s="3" t="s">
        <v>82</v>
      </c>
      <c r="F327" s="3" t="s">
        <v>15</v>
      </c>
      <c r="G327" s="3" t="s">
        <v>31</v>
      </c>
      <c r="H327" s="3" t="s">
        <v>25</v>
      </c>
      <c r="I327" s="3" t="s">
        <v>79</v>
      </c>
      <c r="J327" s="3">
        <v>8</v>
      </c>
      <c r="K327" s="3">
        <v>899</v>
      </c>
      <c r="L327" s="3">
        <v>0.15</v>
      </c>
      <c r="M327" s="3">
        <v>4633.16</v>
      </c>
      <c r="N327" s="3" t="s">
        <v>27</v>
      </c>
      <c r="O327" s="15">
        <f t="shared" si="33"/>
        <v>7192</v>
      </c>
      <c r="P327" s="20">
        <f t="shared" si="34"/>
        <v>1078.8</v>
      </c>
      <c r="R327" s="25">
        <f t="shared" si="35"/>
        <v>57536</v>
      </c>
      <c r="S327" s="24">
        <f t="shared" si="36"/>
        <v>0</v>
      </c>
    </row>
    <row r="328" spans="1:19" ht="15.6" thickTop="1" thickBot="1" x14ac:dyDescent="0.35">
      <c r="A328" s="8" t="s">
        <v>603</v>
      </c>
      <c r="B328" s="14">
        <v>47183</v>
      </c>
      <c r="C328" s="14" t="str">
        <f t="shared" si="31"/>
        <v>2029</v>
      </c>
      <c r="D328" s="14" t="str">
        <f t="shared" si="32"/>
        <v>03</v>
      </c>
      <c r="E328" s="9" t="s">
        <v>43</v>
      </c>
      <c r="F328" s="9" t="s">
        <v>15</v>
      </c>
      <c r="G328" s="9" t="s">
        <v>59</v>
      </c>
      <c r="H328" s="9" t="s">
        <v>17</v>
      </c>
      <c r="I328" s="9" t="s">
        <v>86</v>
      </c>
      <c r="J328" s="9">
        <v>5</v>
      </c>
      <c r="K328" s="9">
        <v>55</v>
      </c>
      <c r="L328" s="9">
        <v>0</v>
      </c>
      <c r="M328" s="9">
        <v>158.71</v>
      </c>
      <c r="N328" s="9" t="s">
        <v>44</v>
      </c>
      <c r="O328" s="15">
        <f t="shared" si="33"/>
        <v>275</v>
      </c>
      <c r="P328" s="20">
        <f t="shared" si="34"/>
        <v>0</v>
      </c>
      <c r="R328" s="25">
        <f t="shared" si="35"/>
        <v>1375</v>
      </c>
      <c r="S328" s="24">
        <f t="shared" si="36"/>
        <v>0</v>
      </c>
    </row>
    <row r="329" spans="1:19" ht="15.6" thickTop="1" thickBot="1" x14ac:dyDescent="0.35">
      <c r="A329" s="7" t="s">
        <v>605</v>
      </c>
      <c r="B329" s="14">
        <v>47184</v>
      </c>
      <c r="C329" s="14" t="str">
        <f t="shared" si="31"/>
        <v>2029</v>
      </c>
      <c r="D329" s="14" t="str">
        <f t="shared" si="32"/>
        <v>03</v>
      </c>
      <c r="E329" s="3" t="s">
        <v>22</v>
      </c>
      <c r="F329" s="3" t="s">
        <v>15</v>
      </c>
      <c r="G329" s="3" t="s">
        <v>31</v>
      </c>
      <c r="H329" s="3" t="s">
        <v>17</v>
      </c>
      <c r="I329" s="3" t="s">
        <v>18</v>
      </c>
      <c r="J329" s="3">
        <v>2</v>
      </c>
      <c r="K329" s="3">
        <v>420</v>
      </c>
      <c r="L329" s="3">
        <v>0.05</v>
      </c>
      <c r="M329" s="3">
        <v>706.04</v>
      </c>
      <c r="N329" s="3" t="s">
        <v>67</v>
      </c>
      <c r="O329" s="15">
        <f t="shared" si="33"/>
        <v>840</v>
      </c>
      <c r="P329" s="20">
        <f t="shared" si="34"/>
        <v>42</v>
      </c>
      <c r="R329" s="25">
        <f t="shared" si="35"/>
        <v>1680</v>
      </c>
      <c r="S329" s="24">
        <f t="shared" si="36"/>
        <v>0</v>
      </c>
    </row>
    <row r="330" spans="1:19" ht="15.6" thickTop="1" thickBot="1" x14ac:dyDescent="0.35">
      <c r="A330" s="8" t="s">
        <v>607</v>
      </c>
      <c r="B330" s="14">
        <v>47185</v>
      </c>
      <c r="C330" s="14" t="str">
        <f t="shared" si="31"/>
        <v>2029</v>
      </c>
      <c r="D330" s="14" t="str">
        <f t="shared" si="32"/>
        <v>03</v>
      </c>
      <c r="E330" s="9" t="s">
        <v>92</v>
      </c>
      <c r="F330" s="9" t="s">
        <v>23</v>
      </c>
      <c r="G330" s="9" t="s">
        <v>38</v>
      </c>
      <c r="H330" s="9" t="s">
        <v>39</v>
      </c>
      <c r="I330" s="9" t="s">
        <v>48</v>
      </c>
      <c r="J330" s="9">
        <v>7</v>
      </c>
      <c r="K330" s="9">
        <v>799</v>
      </c>
      <c r="L330" s="9">
        <v>0.15</v>
      </c>
      <c r="M330" s="9">
        <v>4008.98</v>
      </c>
      <c r="N330" s="9" t="s">
        <v>19</v>
      </c>
      <c r="O330" s="15">
        <f t="shared" si="33"/>
        <v>5593</v>
      </c>
      <c r="P330" s="20">
        <f t="shared" si="34"/>
        <v>838.94999999999993</v>
      </c>
      <c r="R330" s="25">
        <f t="shared" si="35"/>
        <v>39151</v>
      </c>
      <c r="S330" s="24">
        <f t="shared" si="36"/>
        <v>0</v>
      </c>
    </row>
    <row r="331" spans="1:19" ht="15.6" thickTop="1" thickBot="1" x14ac:dyDescent="0.35">
      <c r="A331" s="7" t="s">
        <v>609</v>
      </c>
      <c r="B331" s="14">
        <v>47186</v>
      </c>
      <c r="C331" s="14" t="str">
        <f t="shared" si="31"/>
        <v>2029</v>
      </c>
      <c r="D331" s="14" t="str">
        <f t="shared" si="32"/>
        <v>03</v>
      </c>
      <c r="E331" s="3" t="s">
        <v>14</v>
      </c>
      <c r="F331" s="3" t="s">
        <v>23</v>
      </c>
      <c r="G331" s="3" t="s">
        <v>24</v>
      </c>
      <c r="H331" s="3" t="s">
        <v>39</v>
      </c>
      <c r="I331" s="3" t="s">
        <v>48</v>
      </c>
      <c r="J331" s="3">
        <v>1</v>
      </c>
      <c r="K331" s="3">
        <v>799</v>
      </c>
      <c r="L331" s="3">
        <v>0</v>
      </c>
      <c r="M331" s="3">
        <v>638.49</v>
      </c>
      <c r="N331" s="3" t="s">
        <v>34</v>
      </c>
      <c r="O331" s="15">
        <f t="shared" si="33"/>
        <v>799</v>
      </c>
      <c r="P331" s="20">
        <f t="shared" si="34"/>
        <v>0</v>
      </c>
      <c r="R331" s="25">
        <f t="shared" si="35"/>
        <v>799</v>
      </c>
      <c r="S331" s="24">
        <f t="shared" si="36"/>
        <v>0</v>
      </c>
    </row>
    <row r="332" spans="1:19" ht="15.6" thickTop="1" thickBot="1" x14ac:dyDescent="0.35">
      <c r="A332" s="8" t="s">
        <v>611</v>
      </c>
      <c r="B332" s="14">
        <v>47187</v>
      </c>
      <c r="C332" s="14" t="str">
        <f t="shared" si="31"/>
        <v>2029</v>
      </c>
      <c r="D332" s="14" t="str">
        <f t="shared" si="32"/>
        <v>03</v>
      </c>
      <c r="E332" s="9" t="s">
        <v>30</v>
      </c>
      <c r="F332" s="9" t="s">
        <v>23</v>
      </c>
      <c r="G332" s="9" t="s">
        <v>38</v>
      </c>
      <c r="H332" s="9" t="s">
        <v>25</v>
      </c>
      <c r="I332" s="9" t="s">
        <v>70</v>
      </c>
      <c r="J332" s="9">
        <v>5</v>
      </c>
      <c r="K332" s="9">
        <v>1299</v>
      </c>
      <c r="L332" s="9">
        <v>0</v>
      </c>
      <c r="M332" s="9">
        <v>3614.73</v>
      </c>
      <c r="N332" s="9" t="s">
        <v>27</v>
      </c>
      <c r="O332" s="15">
        <f t="shared" si="33"/>
        <v>6495</v>
      </c>
      <c r="P332" s="20">
        <f t="shared" si="34"/>
        <v>0</v>
      </c>
      <c r="R332" s="25">
        <f t="shared" si="35"/>
        <v>32475</v>
      </c>
      <c r="S332" s="24">
        <f t="shared" si="36"/>
        <v>0</v>
      </c>
    </row>
    <row r="333" spans="1:19" ht="15.6" thickTop="1" thickBot="1" x14ac:dyDescent="0.35">
      <c r="A333" s="7" t="s">
        <v>612</v>
      </c>
      <c r="B333" s="14">
        <v>47188</v>
      </c>
      <c r="C333" s="14" t="str">
        <f t="shared" si="31"/>
        <v>2029</v>
      </c>
      <c r="D333" s="14" t="str">
        <f t="shared" si="32"/>
        <v>03</v>
      </c>
      <c r="E333" s="3" t="s">
        <v>73</v>
      </c>
      <c r="F333" s="3" t="s">
        <v>15</v>
      </c>
      <c r="G333" s="3" t="s">
        <v>24</v>
      </c>
      <c r="H333" s="3" t="s">
        <v>17</v>
      </c>
      <c r="I333" s="3" t="s">
        <v>89</v>
      </c>
      <c r="J333" s="3">
        <v>1</v>
      </c>
      <c r="K333" s="3">
        <v>650</v>
      </c>
      <c r="L333" s="3">
        <v>0.15</v>
      </c>
      <c r="M333" s="3">
        <v>367.37</v>
      </c>
      <c r="N333" s="3" t="s">
        <v>19</v>
      </c>
      <c r="O333" s="15">
        <f t="shared" si="33"/>
        <v>650</v>
      </c>
      <c r="P333" s="20">
        <f t="shared" si="34"/>
        <v>97.5</v>
      </c>
      <c r="R333" s="25">
        <f t="shared" si="35"/>
        <v>650</v>
      </c>
      <c r="S333" s="24">
        <f t="shared" si="36"/>
        <v>0</v>
      </c>
    </row>
    <row r="334" spans="1:19" ht="15.6" thickTop="1" thickBot="1" x14ac:dyDescent="0.35">
      <c r="A334" s="8" t="s">
        <v>614</v>
      </c>
      <c r="B334" s="14">
        <v>47189</v>
      </c>
      <c r="C334" s="14" t="str">
        <f t="shared" si="31"/>
        <v>2029</v>
      </c>
      <c r="D334" s="14" t="str">
        <f t="shared" si="32"/>
        <v>03</v>
      </c>
      <c r="E334" s="9" t="s">
        <v>37</v>
      </c>
      <c r="F334" s="9" t="s">
        <v>23</v>
      </c>
      <c r="G334" s="9" t="s">
        <v>24</v>
      </c>
      <c r="H334" s="9" t="s">
        <v>32</v>
      </c>
      <c r="I334" s="9" t="s">
        <v>97</v>
      </c>
      <c r="J334" s="9">
        <v>3</v>
      </c>
      <c r="K334" s="9">
        <v>899</v>
      </c>
      <c r="L334" s="9">
        <v>0.1</v>
      </c>
      <c r="M334" s="9">
        <v>1657.08</v>
      </c>
      <c r="N334" s="9" t="s">
        <v>34</v>
      </c>
      <c r="O334" s="15">
        <f t="shared" si="33"/>
        <v>2697</v>
      </c>
      <c r="P334" s="20">
        <f t="shared" si="34"/>
        <v>269.7</v>
      </c>
      <c r="R334" s="25">
        <f t="shared" si="35"/>
        <v>8091</v>
      </c>
      <c r="S334" s="24">
        <f t="shared" si="36"/>
        <v>0</v>
      </c>
    </row>
    <row r="335" spans="1:19" ht="15.6" thickTop="1" thickBot="1" x14ac:dyDescent="0.35">
      <c r="A335" s="7" t="s">
        <v>615</v>
      </c>
      <c r="B335" s="14">
        <v>47190</v>
      </c>
      <c r="C335" s="14" t="str">
        <f t="shared" si="31"/>
        <v>2029</v>
      </c>
      <c r="D335" s="14" t="str">
        <f t="shared" si="32"/>
        <v>03</v>
      </c>
      <c r="E335" s="3" t="s">
        <v>63</v>
      </c>
      <c r="F335" s="3" t="s">
        <v>23</v>
      </c>
      <c r="G335" s="3" t="s">
        <v>31</v>
      </c>
      <c r="H335" s="3" t="s">
        <v>25</v>
      </c>
      <c r="I335" s="3" t="s">
        <v>70</v>
      </c>
      <c r="J335" s="3">
        <v>4</v>
      </c>
      <c r="K335" s="3">
        <v>1299</v>
      </c>
      <c r="L335" s="3">
        <v>0.1</v>
      </c>
      <c r="M335" s="3">
        <v>3635.47</v>
      </c>
      <c r="N335" s="3" t="s">
        <v>19</v>
      </c>
      <c r="O335" s="15">
        <f t="shared" si="33"/>
        <v>5196</v>
      </c>
      <c r="P335" s="20">
        <f t="shared" si="34"/>
        <v>519.6</v>
      </c>
      <c r="R335" s="25">
        <f t="shared" si="35"/>
        <v>20784</v>
      </c>
      <c r="S335" s="24">
        <f t="shared" si="36"/>
        <v>0</v>
      </c>
    </row>
    <row r="336" spans="1:19" ht="15.6" thickTop="1" thickBot="1" x14ac:dyDescent="0.35">
      <c r="A336" s="8" t="s">
        <v>616</v>
      </c>
      <c r="B336" s="14">
        <v>47191</v>
      </c>
      <c r="C336" s="14" t="str">
        <f t="shared" si="31"/>
        <v>2029</v>
      </c>
      <c r="D336" s="14" t="str">
        <f t="shared" si="32"/>
        <v>03</v>
      </c>
      <c r="E336" s="9" t="s">
        <v>92</v>
      </c>
      <c r="F336" s="9" t="s">
        <v>15</v>
      </c>
      <c r="G336" s="9" t="s">
        <v>38</v>
      </c>
      <c r="H336" s="9" t="s">
        <v>32</v>
      </c>
      <c r="I336" s="9" t="s">
        <v>60</v>
      </c>
      <c r="J336" s="9">
        <v>7</v>
      </c>
      <c r="K336" s="9">
        <v>1299</v>
      </c>
      <c r="L336" s="9">
        <v>0.05</v>
      </c>
      <c r="M336" s="9">
        <v>6754.24</v>
      </c>
      <c r="N336" s="9" t="s">
        <v>19</v>
      </c>
      <c r="O336" s="15">
        <f t="shared" si="33"/>
        <v>9093</v>
      </c>
      <c r="P336" s="20">
        <f t="shared" si="34"/>
        <v>454.65000000000003</v>
      </c>
      <c r="R336" s="25">
        <f t="shared" si="35"/>
        <v>63651</v>
      </c>
      <c r="S336" s="24">
        <f t="shared" si="36"/>
        <v>0</v>
      </c>
    </row>
    <row r="337" spans="1:19" ht="15.6" thickTop="1" thickBot="1" x14ac:dyDescent="0.35">
      <c r="A337" s="7" t="s">
        <v>617</v>
      </c>
      <c r="B337" s="14">
        <v>47192</v>
      </c>
      <c r="C337" s="14" t="str">
        <f t="shared" si="31"/>
        <v>2029</v>
      </c>
      <c r="D337" s="14" t="str">
        <f t="shared" si="32"/>
        <v>03</v>
      </c>
      <c r="E337" s="3" t="s">
        <v>76</v>
      </c>
      <c r="F337" s="3" t="s">
        <v>15</v>
      </c>
      <c r="G337" s="3" t="s">
        <v>59</v>
      </c>
      <c r="H337" s="3" t="s">
        <v>17</v>
      </c>
      <c r="I337" s="3" t="s">
        <v>86</v>
      </c>
      <c r="J337" s="3">
        <v>8</v>
      </c>
      <c r="K337" s="3">
        <v>55</v>
      </c>
      <c r="L337" s="3">
        <v>0.1</v>
      </c>
      <c r="M337" s="3">
        <v>362.47</v>
      </c>
      <c r="N337" s="3" t="s">
        <v>19</v>
      </c>
      <c r="O337" s="15">
        <f t="shared" si="33"/>
        <v>440</v>
      </c>
      <c r="P337" s="20">
        <f t="shared" si="34"/>
        <v>44</v>
      </c>
      <c r="R337" s="25">
        <f t="shared" si="35"/>
        <v>3520</v>
      </c>
      <c r="S337" s="24">
        <f t="shared" si="36"/>
        <v>0</v>
      </c>
    </row>
    <row r="338" spans="1:19" ht="15.6" thickTop="1" thickBot="1" x14ac:dyDescent="0.35">
      <c r="A338" s="8" t="s">
        <v>618</v>
      </c>
      <c r="B338" s="14">
        <v>47193</v>
      </c>
      <c r="C338" s="14" t="str">
        <f t="shared" si="31"/>
        <v>2029</v>
      </c>
      <c r="D338" s="14" t="str">
        <f t="shared" si="32"/>
        <v>03</v>
      </c>
      <c r="E338" s="9" t="s">
        <v>37</v>
      </c>
      <c r="F338" s="9" t="s">
        <v>23</v>
      </c>
      <c r="G338" s="9" t="s">
        <v>31</v>
      </c>
      <c r="H338" s="9" t="s">
        <v>25</v>
      </c>
      <c r="I338" s="9" t="s">
        <v>56</v>
      </c>
      <c r="J338" s="9">
        <v>4</v>
      </c>
      <c r="K338" s="9">
        <v>1499</v>
      </c>
      <c r="L338" s="9">
        <v>0</v>
      </c>
      <c r="M338" s="9">
        <v>4909.1000000000004</v>
      </c>
      <c r="N338" s="9" t="s">
        <v>44</v>
      </c>
      <c r="O338" s="15">
        <f t="shared" si="33"/>
        <v>5996</v>
      </c>
      <c r="P338" s="20">
        <f t="shared" si="34"/>
        <v>0</v>
      </c>
      <c r="R338" s="25">
        <f t="shared" si="35"/>
        <v>23984</v>
      </c>
      <c r="S338" s="24">
        <f t="shared" si="36"/>
        <v>0</v>
      </c>
    </row>
    <row r="339" spans="1:19" ht="15.6" thickTop="1" thickBot="1" x14ac:dyDescent="0.35">
      <c r="A339" s="7" t="s">
        <v>620</v>
      </c>
      <c r="B339" s="14">
        <v>47194</v>
      </c>
      <c r="C339" s="14" t="str">
        <f t="shared" si="31"/>
        <v>2029</v>
      </c>
      <c r="D339" s="14" t="str">
        <f t="shared" si="32"/>
        <v>03</v>
      </c>
      <c r="E339" s="3" t="s">
        <v>73</v>
      </c>
      <c r="F339" s="3" t="s">
        <v>23</v>
      </c>
      <c r="G339" s="3" t="s">
        <v>47</v>
      </c>
      <c r="H339" s="3" t="s">
        <v>39</v>
      </c>
      <c r="I339" s="3" t="s">
        <v>40</v>
      </c>
      <c r="J339" s="3">
        <v>2</v>
      </c>
      <c r="K339" s="3">
        <v>1599</v>
      </c>
      <c r="L339" s="3">
        <v>0.05</v>
      </c>
      <c r="M339" s="3">
        <v>2389.1</v>
      </c>
      <c r="N339" s="3" t="s">
        <v>44</v>
      </c>
      <c r="O339" s="15">
        <f t="shared" si="33"/>
        <v>3198</v>
      </c>
      <c r="P339" s="20">
        <f t="shared" si="34"/>
        <v>159.9</v>
      </c>
      <c r="R339" s="25">
        <f t="shared" si="35"/>
        <v>6396</v>
      </c>
      <c r="S339" s="24">
        <f t="shared" si="36"/>
        <v>0</v>
      </c>
    </row>
    <row r="340" spans="1:19" ht="15.6" thickTop="1" thickBot="1" x14ac:dyDescent="0.35">
      <c r="A340" s="8" t="s">
        <v>622</v>
      </c>
      <c r="B340" s="14">
        <v>47195</v>
      </c>
      <c r="C340" s="14" t="str">
        <f t="shared" si="31"/>
        <v>2029</v>
      </c>
      <c r="D340" s="14" t="str">
        <f t="shared" si="32"/>
        <v>03</v>
      </c>
      <c r="E340" s="9" t="s">
        <v>92</v>
      </c>
      <c r="F340" s="9" t="s">
        <v>15</v>
      </c>
      <c r="G340" s="9" t="s">
        <v>47</v>
      </c>
      <c r="H340" s="9" t="s">
        <v>32</v>
      </c>
      <c r="I340" s="9" t="s">
        <v>51</v>
      </c>
      <c r="J340" s="9">
        <v>3</v>
      </c>
      <c r="K340" s="9">
        <v>699</v>
      </c>
      <c r="L340" s="9">
        <v>0.05</v>
      </c>
      <c r="M340" s="9">
        <v>1302.1600000000001</v>
      </c>
      <c r="N340" s="9" t="s">
        <v>44</v>
      </c>
      <c r="O340" s="15">
        <f t="shared" si="33"/>
        <v>2097</v>
      </c>
      <c r="P340" s="20">
        <f t="shared" si="34"/>
        <v>104.85000000000001</v>
      </c>
      <c r="R340" s="25">
        <f t="shared" si="35"/>
        <v>6291</v>
      </c>
      <c r="S340" s="24">
        <f t="shared" si="36"/>
        <v>0</v>
      </c>
    </row>
    <row r="341" spans="1:19" ht="15.6" thickTop="1" thickBot="1" x14ac:dyDescent="0.35">
      <c r="A341" s="7" t="s">
        <v>624</v>
      </c>
      <c r="B341" s="14">
        <v>47196</v>
      </c>
      <c r="C341" s="14" t="str">
        <f t="shared" si="31"/>
        <v>2029</v>
      </c>
      <c r="D341" s="14" t="str">
        <f t="shared" si="32"/>
        <v>03</v>
      </c>
      <c r="E341" s="3" t="s">
        <v>43</v>
      </c>
      <c r="F341" s="3" t="s">
        <v>15</v>
      </c>
      <c r="G341" s="3" t="s">
        <v>16</v>
      </c>
      <c r="H341" s="3" t="s">
        <v>17</v>
      </c>
      <c r="I341" s="3" t="s">
        <v>74</v>
      </c>
      <c r="J341" s="3">
        <v>3</v>
      </c>
      <c r="K341" s="3">
        <v>240</v>
      </c>
      <c r="L341" s="3">
        <v>0.2</v>
      </c>
      <c r="M341" s="3">
        <v>600.85</v>
      </c>
      <c r="N341" s="3" t="s">
        <v>67</v>
      </c>
      <c r="O341" s="15">
        <f t="shared" si="33"/>
        <v>720</v>
      </c>
      <c r="P341" s="20">
        <f t="shared" si="34"/>
        <v>144</v>
      </c>
      <c r="R341" s="25">
        <f t="shared" si="35"/>
        <v>2160</v>
      </c>
      <c r="S341" s="24">
        <f t="shared" si="36"/>
        <v>0</v>
      </c>
    </row>
    <row r="342" spans="1:19" ht="15.6" thickTop="1" thickBot="1" x14ac:dyDescent="0.35">
      <c r="A342" s="8" t="s">
        <v>625</v>
      </c>
      <c r="B342" s="14">
        <v>47197</v>
      </c>
      <c r="C342" s="14" t="str">
        <f t="shared" si="31"/>
        <v>2029</v>
      </c>
      <c r="D342" s="14" t="str">
        <f t="shared" si="32"/>
        <v>03</v>
      </c>
      <c r="E342" s="9" t="s">
        <v>63</v>
      </c>
      <c r="F342" s="9" t="s">
        <v>15</v>
      </c>
      <c r="G342" s="9" t="s">
        <v>59</v>
      </c>
      <c r="H342" s="9" t="s">
        <v>25</v>
      </c>
      <c r="I342" s="9" t="s">
        <v>26</v>
      </c>
      <c r="J342" s="9">
        <v>1</v>
      </c>
      <c r="K342" s="9">
        <v>599</v>
      </c>
      <c r="L342" s="9">
        <v>0.05</v>
      </c>
      <c r="M342" s="9">
        <v>437.57</v>
      </c>
      <c r="N342" s="9" t="s">
        <v>27</v>
      </c>
      <c r="O342" s="15">
        <f t="shared" si="33"/>
        <v>599</v>
      </c>
      <c r="P342" s="20">
        <f t="shared" si="34"/>
        <v>29.950000000000003</v>
      </c>
      <c r="R342" s="25">
        <f t="shared" si="35"/>
        <v>599</v>
      </c>
      <c r="S342" s="24">
        <f t="shared" si="36"/>
        <v>0</v>
      </c>
    </row>
    <row r="343" spans="1:19" ht="15.6" thickTop="1" thickBot="1" x14ac:dyDescent="0.35">
      <c r="A343" s="7" t="s">
        <v>627</v>
      </c>
      <c r="B343" s="14">
        <v>47198</v>
      </c>
      <c r="C343" s="14" t="str">
        <f t="shared" si="31"/>
        <v>2029</v>
      </c>
      <c r="D343" s="14" t="str">
        <f t="shared" si="32"/>
        <v>03</v>
      </c>
      <c r="E343" s="3" t="s">
        <v>73</v>
      </c>
      <c r="F343" s="3" t="s">
        <v>15</v>
      </c>
      <c r="G343" s="3" t="s">
        <v>38</v>
      </c>
      <c r="H343" s="3" t="s">
        <v>39</v>
      </c>
      <c r="I343" s="3" t="s">
        <v>40</v>
      </c>
      <c r="J343" s="3">
        <v>6</v>
      </c>
      <c r="K343" s="3">
        <v>1599</v>
      </c>
      <c r="L343" s="3">
        <v>0.05</v>
      </c>
      <c r="M343" s="3">
        <v>7921.13</v>
      </c>
      <c r="N343" s="3" t="s">
        <v>44</v>
      </c>
      <c r="O343" s="15">
        <f t="shared" si="33"/>
        <v>9594</v>
      </c>
      <c r="P343" s="20">
        <f t="shared" si="34"/>
        <v>479.70000000000005</v>
      </c>
      <c r="R343" s="25">
        <f t="shared" si="35"/>
        <v>57564</v>
      </c>
      <c r="S343" s="24">
        <f t="shared" si="36"/>
        <v>0</v>
      </c>
    </row>
    <row r="344" spans="1:19" ht="15.6" thickTop="1" thickBot="1" x14ac:dyDescent="0.35">
      <c r="A344" s="8" t="s">
        <v>628</v>
      </c>
      <c r="B344" s="14">
        <v>47199</v>
      </c>
      <c r="C344" s="14" t="str">
        <f t="shared" si="31"/>
        <v>2029</v>
      </c>
      <c r="D344" s="14" t="str">
        <f t="shared" si="32"/>
        <v>03</v>
      </c>
      <c r="E344" s="9" t="s">
        <v>92</v>
      </c>
      <c r="F344" s="9" t="s">
        <v>15</v>
      </c>
      <c r="G344" s="9" t="s">
        <v>47</v>
      </c>
      <c r="H344" s="9" t="s">
        <v>39</v>
      </c>
      <c r="I344" s="9" t="s">
        <v>48</v>
      </c>
      <c r="J344" s="9">
        <v>6</v>
      </c>
      <c r="K344" s="9">
        <v>799</v>
      </c>
      <c r="L344" s="9">
        <v>0</v>
      </c>
      <c r="M344" s="9">
        <v>3174</v>
      </c>
      <c r="N344" s="9" t="s">
        <v>67</v>
      </c>
      <c r="O344" s="15">
        <f t="shared" si="33"/>
        <v>4794</v>
      </c>
      <c r="P344" s="20">
        <f t="shared" si="34"/>
        <v>0</v>
      </c>
      <c r="R344" s="25">
        <f t="shared" si="35"/>
        <v>28764</v>
      </c>
      <c r="S344" s="24">
        <f t="shared" si="36"/>
        <v>0</v>
      </c>
    </row>
    <row r="345" spans="1:19" ht="15.6" thickTop="1" thickBot="1" x14ac:dyDescent="0.35">
      <c r="A345" s="7" t="s">
        <v>629</v>
      </c>
      <c r="B345" s="14">
        <v>47200</v>
      </c>
      <c r="C345" s="14" t="str">
        <f t="shared" si="31"/>
        <v>2029</v>
      </c>
      <c r="D345" s="14" t="str">
        <f t="shared" si="32"/>
        <v>03</v>
      </c>
      <c r="E345" s="3" t="s">
        <v>14</v>
      </c>
      <c r="F345" s="3" t="s">
        <v>23</v>
      </c>
      <c r="G345" s="3" t="s">
        <v>38</v>
      </c>
      <c r="H345" s="3" t="s">
        <v>17</v>
      </c>
      <c r="I345" s="3" t="s">
        <v>18</v>
      </c>
      <c r="J345" s="3">
        <v>3</v>
      </c>
      <c r="K345" s="3">
        <v>420</v>
      </c>
      <c r="L345" s="3">
        <v>0.15</v>
      </c>
      <c r="M345" s="3">
        <v>992.32</v>
      </c>
      <c r="N345" s="3" t="s">
        <v>67</v>
      </c>
      <c r="O345" s="15">
        <f t="shared" si="33"/>
        <v>1260</v>
      </c>
      <c r="P345" s="20">
        <f t="shared" si="34"/>
        <v>189</v>
      </c>
      <c r="R345" s="25">
        <f t="shared" si="35"/>
        <v>3780</v>
      </c>
      <c r="S345" s="24">
        <f t="shared" si="36"/>
        <v>0</v>
      </c>
    </row>
    <row r="346" spans="1:19" ht="15.6" thickTop="1" thickBot="1" x14ac:dyDescent="0.35">
      <c r="A346" s="8" t="s">
        <v>630</v>
      </c>
      <c r="B346" s="14">
        <v>47201</v>
      </c>
      <c r="C346" s="14" t="str">
        <f t="shared" si="31"/>
        <v>2029</v>
      </c>
      <c r="D346" s="14" t="str">
        <f t="shared" si="32"/>
        <v>03</v>
      </c>
      <c r="E346" s="9" t="s">
        <v>43</v>
      </c>
      <c r="F346" s="9" t="s">
        <v>15</v>
      </c>
      <c r="G346" s="9" t="s">
        <v>16</v>
      </c>
      <c r="H346" s="9" t="s">
        <v>17</v>
      </c>
      <c r="I346" s="9" t="s">
        <v>18</v>
      </c>
      <c r="J346" s="9">
        <v>3</v>
      </c>
      <c r="K346" s="9">
        <v>420</v>
      </c>
      <c r="L346" s="9">
        <v>0.15</v>
      </c>
      <c r="M346" s="9">
        <v>808.98</v>
      </c>
      <c r="N346" s="9" t="s">
        <v>44</v>
      </c>
      <c r="O346" s="15">
        <f t="shared" si="33"/>
        <v>1260</v>
      </c>
      <c r="P346" s="20">
        <f t="shared" si="34"/>
        <v>189</v>
      </c>
      <c r="R346" s="25">
        <f t="shared" si="35"/>
        <v>3780</v>
      </c>
      <c r="S346" s="24">
        <f t="shared" si="36"/>
        <v>0</v>
      </c>
    </row>
    <row r="347" spans="1:19" ht="15.6" thickTop="1" thickBot="1" x14ac:dyDescent="0.35">
      <c r="A347" s="7" t="s">
        <v>631</v>
      </c>
      <c r="B347" s="14">
        <v>47202</v>
      </c>
      <c r="C347" s="14" t="str">
        <f t="shared" si="31"/>
        <v>2029</v>
      </c>
      <c r="D347" s="14" t="str">
        <f t="shared" si="32"/>
        <v>03</v>
      </c>
      <c r="E347" s="3" t="s">
        <v>82</v>
      </c>
      <c r="F347" s="3" t="s">
        <v>15</v>
      </c>
      <c r="G347" s="3" t="s">
        <v>16</v>
      </c>
      <c r="H347" s="3" t="s">
        <v>32</v>
      </c>
      <c r="I347" s="3" t="s">
        <v>33</v>
      </c>
      <c r="J347" s="3">
        <v>1</v>
      </c>
      <c r="K347" s="3">
        <v>1499</v>
      </c>
      <c r="L347" s="3">
        <v>0.05</v>
      </c>
      <c r="M347" s="3">
        <v>1095.3399999999999</v>
      </c>
      <c r="N347" s="3" t="s">
        <v>19</v>
      </c>
      <c r="O347" s="15">
        <f t="shared" si="33"/>
        <v>1499</v>
      </c>
      <c r="P347" s="20">
        <f t="shared" si="34"/>
        <v>74.95</v>
      </c>
      <c r="R347" s="25">
        <f t="shared" si="35"/>
        <v>1499</v>
      </c>
      <c r="S347" s="24">
        <f t="shared" si="36"/>
        <v>0</v>
      </c>
    </row>
    <row r="348" spans="1:19" ht="15.6" thickTop="1" thickBot="1" x14ac:dyDescent="0.35">
      <c r="A348" s="8" t="s">
        <v>633</v>
      </c>
      <c r="B348" s="14">
        <v>47203</v>
      </c>
      <c r="C348" s="14" t="str">
        <f t="shared" si="31"/>
        <v>2029</v>
      </c>
      <c r="D348" s="14" t="str">
        <f t="shared" si="32"/>
        <v>03</v>
      </c>
      <c r="E348" s="9" t="s">
        <v>22</v>
      </c>
      <c r="F348" s="9" t="s">
        <v>15</v>
      </c>
      <c r="G348" s="9" t="s">
        <v>59</v>
      </c>
      <c r="H348" s="9" t="s">
        <v>39</v>
      </c>
      <c r="I348" s="9" t="s">
        <v>106</v>
      </c>
      <c r="J348" s="9">
        <v>2</v>
      </c>
      <c r="K348" s="9">
        <v>999</v>
      </c>
      <c r="L348" s="9">
        <v>0.05</v>
      </c>
      <c r="M348" s="9">
        <v>1306.78</v>
      </c>
      <c r="N348" s="9" t="s">
        <v>44</v>
      </c>
      <c r="O348" s="15">
        <f t="shared" si="33"/>
        <v>1998</v>
      </c>
      <c r="P348" s="20">
        <f t="shared" si="34"/>
        <v>99.9</v>
      </c>
      <c r="R348" s="25">
        <f t="shared" si="35"/>
        <v>3996</v>
      </c>
      <c r="S348" s="24">
        <f t="shared" si="36"/>
        <v>0</v>
      </c>
    </row>
    <row r="349" spans="1:19" ht="15.6" thickTop="1" thickBot="1" x14ac:dyDescent="0.35">
      <c r="A349" s="7" t="s">
        <v>634</v>
      </c>
      <c r="B349" s="14">
        <v>47204</v>
      </c>
      <c r="C349" s="14" t="str">
        <f t="shared" si="31"/>
        <v>2029</v>
      </c>
      <c r="D349" s="14" t="str">
        <f t="shared" si="32"/>
        <v>03</v>
      </c>
      <c r="E349" s="3" t="s">
        <v>14</v>
      </c>
      <c r="F349" s="3" t="s">
        <v>23</v>
      </c>
      <c r="G349" s="3" t="s">
        <v>59</v>
      </c>
      <c r="H349" s="3" t="s">
        <v>25</v>
      </c>
      <c r="I349" s="3" t="s">
        <v>56</v>
      </c>
      <c r="J349" s="3">
        <v>4</v>
      </c>
      <c r="K349" s="3">
        <v>1499</v>
      </c>
      <c r="L349" s="3">
        <v>0.05</v>
      </c>
      <c r="M349" s="3">
        <v>4544.6899999999996</v>
      </c>
      <c r="N349" s="3" t="s">
        <v>44</v>
      </c>
      <c r="O349" s="15">
        <f t="shared" si="33"/>
        <v>5996</v>
      </c>
      <c r="P349" s="20">
        <f t="shared" si="34"/>
        <v>299.8</v>
      </c>
      <c r="R349" s="25">
        <f t="shared" si="35"/>
        <v>23984</v>
      </c>
      <c r="S349" s="24">
        <f t="shared" si="36"/>
        <v>0</v>
      </c>
    </row>
    <row r="350" spans="1:19" ht="15.6" thickTop="1" thickBot="1" x14ac:dyDescent="0.35">
      <c r="A350" s="8" t="s">
        <v>636</v>
      </c>
      <c r="B350" s="14">
        <v>47205</v>
      </c>
      <c r="C350" s="14" t="str">
        <f t="shared" si="31"/>
        <v>2029</v>
      </c>
      <c r="D350" s="14" t="str">
        <f t="shared" si="32"/>
        <v>03</v>
      </c>
      <c r="E350" s="9" t="s">
        <v>14</v>
      </c>
      <c r="F350" s="9" t="s">
        <v>15</v>
      </c>
      <c r="G350" s="9" t="s">
        <v>24</v>
      </c>
      <c r="H350" s="9" t="s">
        <v>32</v>
      </c>
      <c r="I350" s="9" t="s">
        <v>97</v>
      </c>
      <c r="J350" s="9">
        <v>7</v>
      </c>
      <c r="K350" s="9">
        <v>899</v>
      </c>
      <c r="L350" s="9">
        <v>0.05</v>
      </c>
      <c r="M350" s="9">
        <v>5131.1000000000004</v>
      </c>
      <c r="N350" s="9" t="s">
        <v>67</v>
      </c>
      <c r="O350" s="15">
        <f t="shared" si="33"/>
        <v>6293</v>
      </c>
      <c r="P350" s="20">
        <f t="shared" si="34"/>
        <v>314.65000000000003</v>
      </c>
      <c r="R350" s="25">
        <f t="shared" si="35"/>
        <v>44051</v>
      </c>
      <c r="S350" s="24">
        <f t="shared" si="36"/>
        <v>0</v>
      </c>
    </row>
    <row r="351" spans="1:19" ht="15.6" thickTop="1" thickBot="1" x14ac:dyDescent="0.35">
      <c r="A351" s="7" t="s">
        <v>637</v>
      </c>
      <c r="B351" s="14">
        <v>47206</v>
      </c>
      <c r="C351" s="14" t="str">
        <f t="shared" si="31"/>
        <v>2029</v>
      </c>
      <c r="D351" s="14" t="str">
        <f t="shared" si="32"/>
        <v>03</v>
      </c>
      <c r="E351" s="3" t="s">
        <v>43</v>
      </c>
      <c r="F351" s="3" t="s">
        <v>23</v>
      </c>
      <c r="G351" s="3" t="s">
        <v>24</v>
      </c>
      <c r="H351" s="3" t="s">
        <v>32</v>
      </c>
      <c r="I351" s="3" t="s">
        <v>33</v>
      </c>
      <c r="J351" s="3">
        <v>4</v>
      </c>
      <c r="K351" s="3">
        <v>1499</v>
      </c>
      <c r="L351" s="3">
        <v>0.05</v>
      </c>
      <c r="M351" s="3">
        <v>4109.58</v>
      </c>
      <c r="N351" s="3" t="s">
        <v>27</v>
      </c>
      <c r="O351" s="15">
        <f t="shared" si="33"/>
        <v>5996</v>
      </c>
      <c r="P351" s="20">
        <f t="shared" si="34"/>
        <v>299.8</v>
      </c>
      <c r="R351" s="25">
        <f t="shared" si="35"/>
        <v>23984</v>
      </c>
      <c r="S351" s="24">
        <f t="shared" si="36"/>
        <v>0</v>
      </c>
    </row>
    <row r="352" spans="1:19" ht="15.6" thickTop="1" thickBot="1" x14ac:dyDescent="0.35">
      <c r="A352" s="8" t="s">
        <v>638</v>
      </c>
      <c r="B352" s="14">
        <v>47207</v>
      </c>
      <c r="C352" s="14" t="str">
        <f t="shared" si="31"/>
        <v>2029</v>
      </c>
      <c r="D352" s="14" t="str">
        <f t="shared" si="32"/>
        <v>03</v>
      </c>
      <c r="E352" s="9" t="s">
        <v>92</v>
      </c>
      <c r="F352" s="9" t="s">
        <v>23</v>
      </c>
      <c r="G352" s="9" t="s">
        <v>38</v>
      </c>
      <c r="H352" s="9" t="s">
        <v>25</v>
      </c>
      <c r="I352" s="9" t="s">
        <v>26</v>
      </c>
      <c r="J352" s="9">
        <v>6</v>
      </c>
      <c r="K352" s="9">
        <v>599</v>
      </c>
      <c r="L352" s="9">
        <v>0.05</v>
      </c>
      <c r="M352" s="9">
        <v>2934.07</v>
      </c>
      <c r="N352" s="9" t="s">
        <v>34</v>
      </c>
      <c r="O352" s="15">
        <f t="shared" si="33"/>
        <v>3594</v>
      </c>
      <c r="P352" s="20">
        <f t="shared" si="34"/>
        <v>179.70000000000002</v>
      </c>
      <c r="R352" s="25">
        <f t="shared" si="35"/>
        <v>21564</v>
      </c>
      <c r="S352" s="24">
        <f t="shared" si="36"/>
        <v>0</v>
      </c>
    </row>
    <row r="353" spans="1:19" ht="15.6" thickTop="1" thickBot="1" x14ac:dyDescent="0.35">
      <c r="A353" s="7" t="s">
        <v>639</v>
      </c>
      <c r="B353" s="14">
        <v>47208</v>
      </c>
      <c r="C353" s="14" t="str">
        <f t="shared" si="31"/>
        <v>2029</v>
      </c>
      <c r="D353" s="14" t="str">
        <f t="shared" si="32"/>
        <v>03</v>
      </c>
      <c r="E353" s="3" t="s">
        <v>76</v>
      </c>
      <c r="F353" s="3" t="s">
        <v>15</v>
      </c>
      <c r="G353" s="3" t="s">
        <v>38</v>
      </c>
      <c r="H353" s="3" t="s">
        <v>32</v>
      </c>
      <c r="I353" s="3" t="s">
        <v>103</v>
      </c>
      <c r="J353" s="3">
        <v>7</v>
      </c>
      <c r="K353" s="3">
        <v>499</v>
      </c>
      <c r="L353" s="3">
        <v>0.05</v>
      </c>
      <c r="M353" s="3">
        <v>2557.56</v>
      </c>
      <c r="N353" s="3" t="s">
        <v>67</v>
      </c>
      <c r="O353" s="15">
        <f t="shared" si="33"/>
        <v>3493</v>
      </c>
      <c r="P353" s="20">
        <f t="shared" si="34"/>
        <v>174.65</v>
      </c>
      <c r="R353" s="25">
        <f t="shared" si="35"/>
        <v>24451</v>
      </c>
      <c r="S353" s="24">
        <f t="shared" si="36"/>
        <v>0</v>
      </c>
    </row>
    <row r="354" spans="1:19" ht="15.6" thickTop="1" thickBot="1" x14ac:dyDescent="0.35">
      <c r="A354" s="8" t="s">
        <v>640</v>
      </c>
      <c r="B354" s="14">
        <v>47209</v>
      </c>
      <c r="C354" s="14" t="str">
        <f t="shared" si="31"/>
        <v>2029</v>
      </c>
      <c r="D354" s="14" t="str">
        <f t="shared" si="32"/>
        <v>04</v>
      </c>
      <c r="E354" s="9" t="s">
        <v>92</v>
      </c>
      <c r="F354" s="9" t="s">
        <v>15</v>
      </c>
      <c r="G354" s="9" t="s">
        <v>38</v>
      </c>
      <c r="H354" s="9" t="s">
        <v>39</v>
      </c>
      <c r="I354" s="9" t="s">
        <v>40</v>
      </c>
      <c r="J354" s="9">
        <v>7</v>
      </c>
      <c r="K354" s="9">
        <v>1599</v>
      </c>
      <c r="L354" s="9">
        <v>0.2</v>
      </c>
      <c r="M354" s="9">
        <v>8580.68</v>
      </c>
      <c r="N354" s="9" t="s">
        <v>19</v>
      </c>
      <c r="O354" s="15">
        <f t="shared" si="33"/>
        <v>11193</v>
      </c>
      <c r="P354" s="20">
        <f t="shared" si="34"/>
        <v>2238.6</v>
      </c>
      <c r="R354" s="25">
        <f t="shared" si="35"/>
        <v>78351</v>
      </c>
      <c r="S354" s="24">
        <f t="shared" si="36"/>
        <v>0</v>
      </c>
    </row>
    <row r="355" spans="1:19" ht="15.6" thickTop="1" thickBot="1" x14ac:dyDescent="0.35">
      <c r="A355" s="7" t="s">
        <v>641</v>
      </c>
      <c r="B355" s="14">
        <v>47210</v>
      </c>
      <c r="C355" s="14" t="str">
        <f t="shared" si="31"/>
        <v>2029</v>
      </c>
      <c r="D355" s="14" t="str">
        <f t="shared" si="32"/>
        <v>04</v>
      </c>
      <c r="E355" s="3" t="s">
        <v>63</v>
      </c>
      <c r="F355" s="3" t="s">
        <v>23</v>
      </c>
      <c r="G355" s="3" t="s">
        <v>31</v>
      </c>
      <c r="H355" s="3" t="s">
        <v>25</v>
      </c>
      <c r="I355" s="3" t="s">
        <v>26</v>
      </c>
      <c r="J355" s="3">
        <v>7</v>
      </c>
      <c r="K355" s="3">
        <v>599</v>
      </c>
      <c r="L355" s="3">
        <v>0.2</v>
      </c>
      <c r="M355" s="3">
        <v>2997.57</v>
      </c>
      <c r="N355" s="3" t="s">
        <v>67</v>
      </c>
      <c r="O355" s="15">
        <f t="shared" si="33"/>
        <v>4193</v>
      </c>
      <c r="P355" s="20">
        <f t="shared" si="34"/>
        <v>838.6</v>
      </c>
      <c r="R355" s="25">
        <f t="shared" si="35"/>
        <v>29351</v>
      </c>
      <c r="S355" s="24">
        <f t="shared" si="36"/>
        <v>0</v>
      </c>
    </row>
    <row r="356" spans="1:19" ht="15.6" thickTop="1" thickBot="1" x14ac:dyDescent="0.35">
      <c r="A356" s="8" t="s">
        <v>642</v>
      </c>
      <c r="B356" s="14">
        <v>47211</v>
      </c>
      <c r="C356" s="14" t="str">
        <f t="shared" si="31"/>
        <v>2029</v>
      </c>
      <c r="D356" s="14" t="str">
        <f t="shared" si="32"/>
        <v>04</v>
      </c>
      <c r="E356" s="9" t="s">
        <v>92</v>
      </c>
      <c r="F356" s="9" t="s">
        <v>23</v>
      </c>
      <c r="G356" s="9" t="s">
        <v>24</v>
      </c>
      <c r="H356" s="9" t="s">
        <v>32</v>
      </c>
      <c r="I356" s="9" t="s">
        <v>103</v>
      </c>
      <c r="J356" s="9">
        <v>5</v>
      </c>
      <c r="K356" s="9">
        <v>499</v>
      </c>
      <c r="L356" s="9">
        <v>0.2</v>
      </c>
      <c r="M356" s="9">
        <v>1731.78</v>
      </c>
      <c r="N356" s="9" t="s">
        <v>27</v>
      </c>
      <c r="O356" s="15">
        <f t="shared" si="33"/>
        <v>2495</v>
      </c>
      <c r="P356" s="20">
        <f t="shared" si="34"/>
        <v>499</v>
      </c>
      <c r="R356" s="25">
        <f t="shared" si="35"/>
        <v>12475</v>
      </c>
      <c r="S356" s="24">
        <f t="shared" si="36"/>
        <v>0</v>
      </c>
    </row>
    <row r="357" spans="1:19" ht="15.6" thickTop="1" thickBot="1" x14ac:dyDescent="0.35">
      <c r="A357" s="7" t="s">
        <v>644</v>
      </c>
      <c r="B357" s="14">
        <v>47212</v>
      </c>
      <c r="C357" s="14" t="str">
        <f t="shared" si="31"/>
        <v>2029</v>
      </c>
      <c r="D357" s="14" t="str">
        <f t="shared" si="32"/>
        <v>04</v>
      </c>
      <c r="E357" s="3" t="s">
        <v>30</v>
      </c>
      <c r="F357" s="3" t="s">
        <v>15</v>
      </c>
      <c r="G357" s="3" t="s">
        <v>16</v>
      </c>
      <c r="H357" s="3" t="s">
        <v>17</v>
      </c>
      <c r="I357" s="3" t="s">
        <v>89</v>
      </c>
      <c r="J357" s="3">
        <v>8</v>
      </c>
      <c r="K357" s="3">
        <v>650</v>
      </c>
      <c r="L357" s="3">
        <v>0</v>
      </c>
      <c r="M357" s="3">
        <v>3341.03</v>
      </c>
      <c r="N357" s="3" t="s">
        <v>67</v>
      </c>
      <c r="O357" s="15">
        <f t="shared" si="33"/>
        <v>5200</v>
      </c>
      <c r="P357" s="20">
        <f t="shared" si="34"/>
        <v>0</v>
      </c>
      <c r="R357" s="25">
        <f t="shared" si="35"/>
        <v>41600</v>
      </c>
      <c r="S357" s="24">
        <f t="shared" si="36"/>
        <v>0</v>
      </c>
    </row>
    <row r="358" spans="1:19" ht="15.6" thickTop="1" thickBot="1" x14ac:dyDescent="0.35">
      <c r="A358" s="8" t="s">
        <v>646</v>
      </c>
      <c r="B358" s="14">
        <v>47213</v>
      </c>
      <c r="C358" s="14" t="str">
        <f t="shared" si="31"/>
        <v>2029</v>
      </c>
      <c r="D358" s="14" t="str">
        <f t="shared" si="32"/>
        <v>04</v>
      </c>
      <c r="E358" s="9" t="s">
        <v>73</v>
      </c>
      <c r="F358" s="9" t="s">
        <v>23</v>
      </c>
      <c r="G358" s="9" t="s">
        <v>24</v>
      </c>
      <c r="H358" s="9" t="s">
        <v>32</v>
      </c>
      <c r="I358" s="9" t="s">
        <v>60</v>
      </c>
      <c r="J358" s="9">
        <v>6</v>
      </c>
      <c r="K358" s="9">
        <v>1299</v>
      </c>
      <c r="L358" s="9">
        <v>0.15</v>
      </c>
      <c r="M358" s="9">
        <v>5150.43</v>
      </c>
      <c r="N358" s="9" t="s">
        <v>67</v>
      </c>
      <c r="O358" s="15">
        <f t="shared" si="33"/>
        <v>7794</v>
      </c>
      <c r="P358" s="20">
        <f t="shared" si="34"/>
        <v>1169.0999999999999</v>
      </c>
      <c r="R358" s="25">
        <f t="shared" si="35"/>
        <v>46764</v>
      </c>
      <c r="S358" s="24">
        <f t="shared" si="36"/>
        <v>0</v>
      </c>
    </row>
    <row r="359" spans="1:19" ht="15.6" thickTop="1" thickBot="1" x14ac:dyDescent="0.35">
      <c r="A359" s="7" t="s">
        <v>648</v>
      </c>
      <c r="B359" s="14">
        <v>47214</v>
      </c>
      <c r="C359" s="14" t="str">
        <f t="shared" si="31"/>
        <v>2029</v>
      </c>
      <c r="D359" s="14" t="str">
        <f t="shared" si="32"/>
        <v>04</v>
      </c>
      <c r="E359" s="3" t="s">
        <v>63</v>
      </c>
      <c r="F359" s="3" t="s">
        <v>23</v>
      </c>
      <c r="G359" s="3" t="s">
        <v>59</v>
      </c>
      <c r="H359" s="3" t="s">
        <v>17</v>
      </c>
      <c r="I359" s="3" t="s">
        <v>18</v>
      </c>
      <c r="J359" s="3">
        <v>5</v>
      </c>
      <c r="K359" s="3">
        <v>420</v>
      </c>
      <c r="L359" s="3">
        <v>0.2</v>
      </c>
      <c r="M359" s="3">
        <v>1193.83</v>
      </c>
      <c r="N359" s="3" t="s">
        <v>27</v>
      </c>
      <c r="O359" s="15">
        <f t="shared" si="33"/>
        <v>2100</v>
      </c>
      <c r="P359" s="20">
        <f t="shared" si="34"/>
        <v>420</v>
      </c>
      <c r="R359" s="25">
        <f t="shared" si="35"/>
        <v>10500</v>
      </c>
      <c r="S359" s="24">
        <f t="shared" si="36"/>
        <v>0</v>
      </c>
    </row>
    <row r="360" spans="1:19" ht="15.6" thickTop="1" thickBot="1" x14ac:dyDescent="0.35">
      <c r="A360" s="8" t="s">
        <v>649</v>
      </c>
      <c r="B360" s="14">
        <v>47215</v>
      </c>
      <c r="C360" s="14" t="str">
        <f t="shared" si="31"/>
        <v>2029</v>
      </c>
      <c r="D360" s="14" t="str">
        <f t="shared" si="32"/>
        <v>04</v>
      </c>
      <c r="E360" s="9" t="s">
        <v>43</v>
      </c>
      <c r="F360" s="9" t="s">
        <v>23</v>
      </c>
      <c r="G360" s="9" t="s">
        <v>47</v>
      </c>
      <c r="H360" s="9" t="s">
        <v>39</v>
      </c>
      <c r="I360" s="9" t="s">
        <v>210</v>
      </c>
      <c r="J360" s="9">
        <v>1</v>
      </c>
      <c r="K360" s="9">
        <v>1999</v>
      </c>
      <c r="L360" s="9">
        <v>0.15</v>
      </c>
      <c r="M360" s="9">
        <v>1590.25</v>
      </c>
      <c r="N360" s="9" t="s">
        <v>67</v>
      </c>
      <c r="O360" s="15">
        <f t="shared" si="33"/>
        <v>1999</v>
      </c>
      <c r="P360" s="20">
        <f t="shared" si="34"/>
        <v>299.84999999999997</v>
      </c>
      <c r="R360" s="25">
        <f t="shared" si="35"/>
        <v>1999</v>
      </c>
      <c r="S360" s="24">
        <f t="shared" si="36"/>
        <v>0</v>
      </c>
    </row>
    <row r="361" spans="1:19" ht="15.6" thickTop="1" thickBot="1" x14ac:dyDescent="0.35">
      <c r="A361" s="7" t="s">
        <v>650</v>
      </c>
      <c r="B361" s="14">
        <v>47216</v>
      </c>
      <c r="C361" s="14" t="str">
        <f t="shared" si="31"/>
        <v>2029</v>
      </c>
      <c r="D361" s="14" t="str">
        <f t="shared" si="32"/>
        <v>04</v>
      </c>
      <c r="E361" s="3" t="s">
        <v>73</v>
      </c>
      <c r="F361" s="3" t="s">
        <v>15</v>
      </c>
      <c r="G361" s="3" t="s">
        <v>59</v>
      </c>
      <c r="H361" s="3" t="s">
        <v>17</v>
      </c>
      <c r="I361" s="3" t="s">
        <v>89</v>
      </c>
      <c r="J361" s="3">
        <v>7</v>
      </c>
      <c r="K361" s="3">
        <v>650</v>
      </c>
      <c r="L361" s="3">
        <v>0</v>
      </c>
      <c r="M361" s="3">
        <v>3187.87</v>
      </c>
      <c r="N361" s="3" t="s">
        <v>19</v>
      </c>
      <c r="O361" s="15">
        <f t="shared" si="33"/>
        <v>4550</v>
      </c>
      <c r="P361" s="20">
        <f t="shared" si="34"/>
        <v>0</v>
      </c>
      <c r="R361" s="25">
        <f t="shared" si="35"/>
        <v>31850</v>
      </c>
      <c r="S361" s="24">
        <f t="shared" si="36"/>
        <v>0</v>
      </c>
    </row>
    <row r="362" spans="1:19" ht="15.6" thickTop="1" thickBot="1" x14ac:dyDescent="0.35">
      <c r="A362" s="8" t="s">
        <v>651</v>
      </c>
      <c r="B362" s="14">
        <v>47217</v>
      </c>
      <c r="C362" s="14" t="str">
        <f t="shared" si="31"/>
        <v>2029</v>
      </c>
      <c r="D362" s="14" t="str">
        <f t="shared" si="32"/>
        <v>04</v>
      </c>
      <c r="E362" s="9" t="s">
        <v>22</v>
      </c>
      <c r="F362" s="9" t="s">
        <v>15</v>
      </c>
      <c r="G362" s="9" t="s">
        <v>24</v>
      </c>
      <c r="H362" s="9" t="s">
        <v>32</v>
      </c>
      <c r="I362" s="9" t="s">
        <v>60</v>
      </c>
      <c r="J362" s="9">
        <v>3</v>
      </c>
      <c r="K362" s="9">
        <v>1299</v>
      </c>
      <c r="L362" s="9">
        <v>0.05</v>
      </c>
      <c r="M362" s="9">
        <v>3088.52</v>
      </c>
      <c r="N362" s="9" t="s">
        <v>34</v>
      </c>
      <c r="O362" s="15">
        <f t="shared" si="33"/>
        <v>3897</v>
      </c>
      <c r="P362" s="20">
        <f t="shared" si="34"/>
        <v>194.85000000000002</v>
      </c>
      <c r="R362" s="25">
        <f t="shared" si="35"/>
        <v>11691</v>
      </c>
      <c r="S362" s="24">
        <f t="shared" si="36"/>
        <v>0</v>
      </c>
    </row>
    <row r="363" spans="1:19" ht="15.6" thickTop="1" thickBot="1" x14ac:dyDescent="0.35">
      <c r="A363" s="7" t="s">
        <v>652</v>
      </c>
      <c r="B363" s="14">
        <v>47218</v>
      </c>
      <c r="C363" s="14" t="str">
        <f t="shared" si="31"/>
        <v>2029</v>
      </c>
      <c r="D363" s="14" t="str">
        <f t="shared" si="32"/>
        <v>04</v>
      </c>
      <c r="E363" s="3" t="s">
        <v>37</v>
      </c>
      <c r="F363" s="3" t="s">
        <v>15</v>
      </c>
      <c r="G363" s="3" t="s">
        <v>16</v>
      </c>
      <c r="H363" s="3" t="s">
        <v>32</v>
      </c>
      <c r="I363" s="3" t="s">
        <v>60</v>
      </c>
      <c r="J363" s="3">
        <v>3</v>
      </c>
      <c r="K363" s="3">
        <v>1299</v>
      </c>
      <c r="L363" s="3">
        <v>0.2</v>
      </c>
      <c r="M363" s="3">
        <v>2444.84</v>
      </c>
      <c r="N363" s="3" t="s">
        <v>27</v>
      </c>
      <c r="O363" s="15">
        <f t="shared" si="33"/>
        <v>3897</v>
      </c>
      <c r="P363" s="20">
        <f t="shared" si="34"/>
        <v>779.40000000000009</v>
      </c>
      <c r="R363" s="25">
        <f t="shared" si="35"/>
        <v>11691</v>
      </c>
      <c r="S363" s="24">
        <f t="shared" si="36"/>
        <v>0</v>
      </c>
    </row>
    <row r="364" spans="1:19" ht="15.6" thickTop="1" thickBot="1" x14ac:dyDescent="0.35">
      <c r="A364" s="8" t="s">
        <v>654</v>
      </c>
      <c r="B364" s="14">
        <v>47219</v>
      </c>
      <c r="C364" s="14" t="str">
        <f t="shared" si="31"/>
        <v>2029</v>
      </c>
      <c r="D364" s="14" t="str">
        <f t="shared" si="32"/>
        <v>04</v>
      </c>
      <c r="E364" s="9" t="s">
        <v>37</v>
      </c>
      <c r="F364" s="9" t="s">
        <v>23</v>
      </c>
      <c r="G364" s="9" t="s">
        <v>47</v>
      </c>
      <c r="H364" s="9" t="s">
        <v>17</v>
      </c>
      <c r="I364" s="9" t="s">
        <v>113</v>
      </c>
      <c r="J364" s="9">
        <v>8</v>
      </c>
      <c r="K364" s="9">
        <v>180</v>
      </c>
      <c r="L364" s="9">
        <v>0</v>
      </c>
      <c r="M364" s="9">
        <v>1131.79</v>
      </c>
      <c r="N364" s="9" t="s">
        <v>19</v>
      </c>
      <c r="O364" s="15">
        <f t="shared" si="33"/>
        <v>1440</v>
      </c>
      <c r="P364" s="20">
        <f t="shared" si="34"/>
        <v>0</v>
      </c>
      <c r="R364" s="25">
        <f t="shared" si="35"/>
        <v>11520</v>
      </c>
      <c r="S364" s="24">
        <f t="shared" si="36"/>
        <v>0</v>
      </c>
    </row>
    <row r="365" spans="1:19" ht="15.6" thickTop="1" thickBot="1" x14ac:dyDescent="0.35">
      <c r="A365" s="7" t="s">
        <v>655</v>
      </c>
      <c r="B365" s="14">
        <v>47220</v>
      </c>
      <c r="C365" s="14" t="str">
        <f t="shared" si="31"/>
        <v>2029</v>
      </c>
      <c r="D365" s="14" t="str">
        <f t="shared" si="32"/>
        <v>04</v>
      </c>
      <c r="E365" s="3" t="s">
        <v>76</v>
      </c>
      <c r="F365" s="3" t="s">
        <v>23</v>
      </c>
      <c r="G365" s="3" t="s">
        <v>24</v>
      </c>
      <c r="H365" s="3" t="s">
        <v>32</v>
      </c>
      <c r="I365" s="3" t="s">
        <v>60</v>
      </c>
      <c r="J365" s="3">
        <v>3</v>
      </c>
      <c r="K365" s="3">
        <v>1299</v>
      </c>
      <c r="L365" s="3">
        <v>0.2</v>
      </c>
      <c r="M365" s="3">
        <v>2830.7</v>
      </c>
      <c r="N365" s="3" t="s">
        <v>27</v>
      </c>
      <c r="O365" s="15">
        <f t="shared" si="33"/>
        <v>3897</v>
      </c>
      <c r="P365" s="20">
        <f t="shared" si="34"/>
        <v>779.40000000000009</v>
      </c>
      <c r="R365" s="25">
        <f t="shared" si="35"/>
        <v>11691</v>
      </c>
      <c r="S365" s="24">
        <f t="shared" si="36"/>
        <v>0</v>
      </c>
    </row>
    <row r="366" spans="1:19" ht="15.6" thickTop="1" thickBot="1" x14ac:dyDescent="0.35">
      <c r="A366" s="8" t="s">
        <v>656</v>
      </c>
      <c r="B366" s="14">
        <v>47221</v>
      </c>
      <c r="C366" s="14" t="str">
        <f t="shared" si="31"/>
        <v>2029</v>
      </c>
      <c r="D366" s="14" t="str">
        <f t="shared" si="32"/>
        <v>04</v>
      </c>
      <c r="E366" s="9" t="s">
        <v>22</v>
      </c>
      <c r="F366" s="9" t="s">
        <v>15</v>
      </c>
      <c r="G366" s="9" t="s">
        <v>38</v>
      </c>
      <c r="H366" s="9" t="s">
        <v>17</v>
      </c>
      <c r="I366" s="9" t="s">
        <v>86</v>
      </c>
      <c r="J366" s="9">
        <v>5</v>
      </c>
      <c r="K366" s="9">
        <v>55</v>
      </c>
      <c r="L366" s="9">
        <v>0.15</v>
      </c>
      <c r="M366" s="9">
        <v>205.27</v>
      </c>
      <c r="N366" s="9" t="s">
        <v>19</v>
      </c>
      <c r="O366" s="15">
        <f t="shared" si="33"/>
        <v>275</v>
      </c>
      <c r="P366" s="20">
        <f t="shared" si="34"/>
        <v>41.25</v>
      </c>
      <c r="R366" s="25">
        <f t="shared" si="35"/>
        <v>1375</v>
      </c>
      <c r="S366" s="24">
        <f t="shared" si="36"/>
        <v>0</v>
      </c>
    </row>
    <row r="367" spans="1:19" ht="15.6" thickTop="1" thickBot="1" x14ac:dyDescent="0.35">
      <c r="A367" s="7" t="s">
        <v>658</v>
      </c>
      <c r="B367" s="14">
        <v>47222</v>
      </c>
      <c r="C367" s="14" t="str">
        <f t="shared" si="31"/>
        <v>2029</v>
      </c>
      <c r="D367" s="14" t="str">
        <f t="shared" si="32"/>
        <v>04</v>
      </c>
      <c r="E367" s="3" t="s">
        <v>73</v>
      </c>
      <c r="F367" s="3" t="s">
        <v>15</v>
      </c>
      <c r="G367" s="3" t="s">
        <v>31</v>
      </c>
      <c r="H367" s="3" t="s">
        <v>17</v>
      </c>
      <c r="I367" s="3" t="s">
        <v>86</v>
      </c>
      <c r="J367" s="3">
        <v>3</v>
      </c>
      <c r="K367" s="3">
        <v>55</v>
      </c>
      <c r="L367" s="3">
        <v>0.2</v>
      </c>
      <c r="M367" s="3">
        <v>120.88</v>
      </c>
      <c r="N367" s="3" t="s">
        <v>67</v>
      </c>
      <c r="O367" s="15">
        <f t="shared" si="33"/>
        <v>165</v>
      </c>
      <c r="P367" s="20">
        <f t="shared" si="34"/>
        <v>33</v>
      </c>
      <c r="R367" s="25">
        <f t="shared" si="35"/>
        <v>495</v>
      </c>
      <c r="S367" s="24">
        <f t="shared" si="36"/>
        <v>0</v>
      </c>
    </row>
    <row r="368" spans="1:19" ht="15.6" thickTop="1" thickBot="1" x14ac:dyDescent="0.35">
      <c r="A368" s="8" t="s">
        <v>660</v>
      </c>
      <c r="B368" s="14">
        <v>47223</v>
      </c>
      <c r="C368" s="14" t="str">
        <f t="shared" si="31"/>
        <v>2029</v>
      </c>
      <c r="D368" s="14" t="str">
        <f t="shared" si="32"/>
        <v>04</v>
      </c>
      <c r="E368" s="9" t="s">
        <v>37</v>
      </c>
      <c r="F368" s="9" t="s">
        <v>23</v>
      </c>
      <c r="G368" s="9" t="s">
        <v>16</v>
      </c>
      <c r="H368" s="9" t="s">
        <v>39</v>
      </c>
      <c r="I368" s="9" t="s">
        <v>48</v>
      </c>
      <c r="J368" s="9">
        <v>8</v>
      </c>
      <c r="K368" s="9">
        <v>799</v>
      </c>
      <c r="L368" s="9">
        <v>0.1</v>
      </c>
      <c r="M368" s="9">
        <v>5235.75</v>
      </c>
      <c r="N368" s="9" t="s">
        <v>27</v>
      </c>
      <c r="O368" s="15">
        <f t="shared" si="33"/>
        <v>6392</v>
      </c>
      <c r="P368" s="20">
        <f t="shared" si="34"/>
        <v>639.20000000000005</v>
      </c>
      <c r="R368" s="25">
        <f t="shared" si="35"/>
        <v>51136</v>
      </c>
      <c r="S368" s="24">
        <f t="shared" si="36"/>
        <v>0</v>
      </c>
    </row>
    <row r="369" spans="1:19" ht="15.6" thickTop="1" thickBot="1" x14ac:dyDescent="0.35">
      <c r="A369" s="7" t="s">
        <v>661</v>
      </c>
      <c r="B369" s="14">
        <v>47224</v>
      </c>
      <c r="C369" s="14" t="str">
        <f t="shared" si="31"/>
        <v>2029</v>
      </c>
      <c r="D369" s="14" t="str">
        <f t="shared" si="32"/>
        <v>04</v>
      </c>
      <c r="E369" s="3" t="s">
        <v>63</v>
      </c>
      <c r="F369" s="3" t="s">
        <v>23</v>
      </c>
      <c r="G369" s="3" t="s">
        <v>38</v>
      </c>
      <c r="H369" s="3" t="s">
        <v>32</v>
      </c>
      <c r="I369" s="3" t="s">
        <v>103</v>
      </c>
      <c r="J369" s="3">
        <v>4</v>
      </c>
      <c r="K369" s="3">
        <v>499</v>
      </c>
      <c r="L369" s="3">
        <v>0.05</v>
      </c>
      <c r="M369" s="3">
        <v>1277.73</v>
      </c>
      <c r="N369" s="3" t="s">
        <v>67</v>
      </c>
      <c r="O369" s="15">
        <f t="shared" si="33"/>
        <v>1996</v>
      </c>
      <c r="P369" s="20">
        <f t="shared" si="34"/>
        <v>99.800000000000011</v>
      </c>
      <c r="R369" s="25">
        <f t="shared" si="35"/>
        <v>7984</v>
      </c>
      <c r="S369" s="24">
        <f t="shared" si="36"/>
        <v>0</v>
      </c>
    </row>
    <row r="370" spans="1:19" ht="15.6" thickTop="1" thickBot="1" x14ac:dyDescent="0.35">
      <c r="A370" s="8" t="s">
        <v>663</v>
      </c>
      <c r="B370" s="14">
        <v>47225</v>
      </c>
      <c r="C370" s="14" t="str">
        <f t="shared" si="31"/>
        <v>2029</v>
      </c>
      <c r="D370" s="14" t="str">
        <f t="shared" si="32"/>
        <v>04</v>
      </c>
      <c r="E370" s="9" t="s">
        <v>63</v>
      </c>
      <c r="F370" s="9" t="s">
        <v>23</v>
      </c>
      <c r="G370" s="9" t="s">
        <v>47</v>
      </c>
      <c r="H370" s="9" t="s">
        <v>25</v>
      </c>
      <c r="I370" s="9" t="s">
        <v>79</v>
      </c>
      <c r="J370" s="9">
        <v>8</v>
      </c>
      <c r="K370" s="9">
        <v>899</v>
      </c>
      <c r="L370" s="9">
        <v>0.05</v>
      </c>
      <c r="M370" s="9">
        <v>5926.42</v>
      </c>
      <c r="N370" s="9" t="s">
        <v>67</v>
      </c>
      <c r="O370" s="15">
        <f t="shared" si="33"/>
        <v>7192</v>
      </c>
      <c r="P370" s="20">
        <f t="shared" si="34"/>
        <v>359.6</v>
      </c>
      <c r="R370" s="25">
        <f t="shared" si="35"/>
        <v>57536</v>
      </c>
      <c r="S370" s="24">
        <f t="shared" si="36"/>
        <v>0</v>
      </c>
    </row>
    <row r="371" spans="1:19" ht="15.6" thickTop="1" thickBot="1" x14ac:dyDescent="0.35">
      <c r="A371" s="7" t="s">
        <v>664</v>
      </c>
      <c r="B371" s="14">
        <v>47226</v>
      </c>
      <c r="C371" s="14" t="str">
        <f t="shared" si="31"/>
        <v>2029</v>
      </c>
      <c r="D371" s="14" t="str">
        <f t="shared" si="32"/>
        <v>04</v>
      </c>
      <c r="E371" s="3" t="s">
        <v>76</v>
      </c>
      <c r="F371" s="3" t="s">
        <v>23</v>
      </c>
      <c r="G371" s="3" t="s">
        <v>24</v>
      </c>
      <c r="H371" s="3" t="s">
        <v>39</v>
      </c>
      <c r="I371" s="3" t="s">
        <v>48</v>
      </c>
      <c r="J371" s="3">
        <v>5</v>
      </c>
      <c r="K371" s="3">
        <v>799</v>
      </c>
      <c r="L371" s="3">
        <v>0.2</v>
      </c>
      <c r="M371" s="3">
        <v>2680.71</v>
      </c>
      <c r="N371" s="3" t="s">
        <v>19</v>
      </c>
      <c r="O371" s="15">
        <f t="shared" si="33"/>
        <v>3995</v>
      </c>
      <c r="P371" s="20">
        <f t="shared" si="34"/>
        <v>799</v>
      </c>
      <c r="R371" s="25">
        <f t="shared" si="35"/>
        <v>19975</v>
      </c>
      <c r="S371" s="24">
        <f t="shared" si="36"/>
        <v>0</v>
      </c>
    </row>
    <row r="372" spans="1:19" ht="15.6" thickTop="1" thickBot="1" x14ac:dyDescent="0.35">
      <c r="A372" s="8" t="s">
        <v>665</v>
      </c>
      <c r="B372" s="14">
        <v>47227</v>
      </c>
      <c r="C372" s="14" t="str">
        <f t="shared" si="31"/>
        <v>2029</v>
      </c>
      <c r="D372" s="14" t="str">
        <f t="shared" si="32"/>
        <v>04</v>
      </c>
      <c r="E372" s="9" t="s">
        <v>92</v>
      </c>
      <c r="F372" s="9" t="s">
        <v>15</v>
      </c>
      <c r="G372" s="9" t="s">
        <v>31</v>
      </c>
      <c r="H372" s="9" t="s">
        <v>39</v>
      </c>
      <c r="I372" s="9" t="s">
        <v>48</v>
      </c>
      <c r="J372" s="9">
        <v>4</v>
      </c>
      <c r="K372" s="9">
        <v>799</v>
      </c>
      <c r="L372" s="9">
        <v>0</v>
      </c>
      <c r="M372" s="9">
        <v>2195.44</v>
      </c>
      <c r="N372" s="9" t="s">
        <v>44</v>
      </c>
      <c r="O372" s="15">
        <f t="shared" si="33"/>
        <v>3196</v>
      </c>
      <c r="P372" s="20">
        <f t="shared" si="34"/>
        <v>0</v>
      </c>
      <c r="R372" s="25">
        <f t="shared" si="35"/>
        <v>12784</v>
      </c>
      <c r="S372" s="24">
        <f t="shared" si="36"/>
        <v>0</v>
      </c>
    </row>
    <row r="373" spans="1:19" ht="15.6" thickTop="1" thickBot="1" x14ac:dyDescent="0.35">
      <c r="A373" s="7" t="s">
        <v>667</v>
      </c>
      <c r="B373" s="14">
        <v>47228</v>
      </c>
      <c r="C373" s="14" t="str">
        <f t="shared" si="31"/>
        <v>2029</v>
      </c>
      <c r="D373" s="14" t="str">
        <f t="shared" si="32"/>
        <v>04</v>
      </c>
      <c r="E373" s="3" t="s">
        <v>30</v>
      </c>
      <c r="F373" s="3" t="s">
        <v>23</v>
      </c>
      <c r="G373" s="3" t="s">
        <v>38</v>
      </c>
      <c r="H373" s="3" t="s">
        <v>32</v>
      </c>
      <c r="I373" s="3" t="s">
        <v>33</v>
      </c>
      <c r="J373" s="3">
        <v>7</v>
      </c>
      <c r="K373" s="3">
        <v>1499</v>
      </c>
      <c r="L373" s="3">
        <v>0</v>
      </c>
      <c r="M373" s="3">
        <v>7915.42</v>
      </c>
      <c r="N373" s="3" t="s">
        <v>34</v>
      </c>
      <c r="O373" s="15">
        <f t="shared" si="33"/>
        <v>10493</v>
      </c>
      <c r="P373" s="20">
        <f t="shared" si="34"/>
        <v>0</v>
      </c>
      <c r="R373" s="25">
        <f t="shared" si="35"/>
        <v>73451</v>
      </c>
      <c r="S373" s="24">
        <f t="shared" si="36"/>
        <v>0</v>
      </c>
    </row>
    <row r="374" spans="1:19" ht="15.6" thickTop="1" thickBot="1" x14ac:dyDescent="0.35">
      <c r="A374" s="8" t="s">
        <v>668</v>
      </c>
      <c r="B374" s="14">
        <v>47229</v>
      </c>
      <c r="C374" s="14" t="str">
        <f t="shared" si="31"/>
        <v>2029</v>
      </c>
      <c r="D374" s="14" t="str">
        <f t="shared" si="32"/>
        <v>04</v>
      </c>
      <c r="E374" s="9" t="s">
        <v>73</v>
      </c>
      <c r="F374" s="9" t="s">
        <v>23</v>
      </c>
      <c r="G374" s="9" t="s">
        <v>31</v>
      </c>
      <c r="H374" s="9" t="s">
        <v>32</v>
      </c>
      <c r="I374" s="9" t="s">
        <v>33</v>
      </c>
      <c r="J374" s="9">
        <v>6</v>
      </c>
      <c r="K374" s="9">
        <v>1499</v>
      </c>
      <c r="L374" s="9">
        <v>0.1</v>
      </c>
      <c r="M374" s="9">
        <v>5387.89</v>
      </c>
      <c r="N374" s="9" t="s">
        <v>44</v>
      </c>
      <c r="O374" s="15">
        <f t="shared" si="33"/>
        <v>8994</v>
      </c>
      <c r="P374" s="20">
        <f t="shared" si="34"/>
        <v>899.40000000000009</v>
      </c>
      <c r="R374" s="25">
        <f t="shared" si="35"/>
        <v>53964</v>
      </c>
      <c r="S374" s="24">
        <f t="shared" si="36"/>
        <v>0</v>
      </c>
    </row>
    <row r="375" spans="1:19" ht="15.6" thickTop="1" thickBot="1" x14ac:dyDescent="0.35">
      <c r="A375" s="7" t="s">
        <v>669</v>
      </c>
      <c r="B375" s="14">
        <v>47230</v>
      </c>
      <c r="C375" s="14" t="str">
        <f t="shared" si="31"/>
        <v>2029</v>
      </c>
      <c r="D375" s="14" t="str">
        <f t="shared" si="32"/>
        <v>04</v>
      </c>
      <c r="E375" s="3" t="s">
        <v>14</v>
      </c>
      <c r="F375" s="3" t="s">
        <v>23</v>
      </c>
      <c r="G375" s="3" t="s">
        <v>24</v>
      </c>
      <c r="H375" s="3" t="s">
        <v>32</v>
      </c>
      <c r="I375" s="3" t="s">
        <v>103</v>
      </c>
      <c r="J375" s="3">
        <v>3</v>
      </c>
      <c r="K375" s="3">
        <v>499</v>
      </c>
      <c r="L375" s="3">
        <v>0.2</v>
      </c>
      <c r="M375" s="3">
        <v>1173.57</v>
      </c>
      <c r="N375" s="3" t="s">
        <v>34</v>
      </c>
      <c r="O375" s="15">
        <f t="shared" si="33"/>
        <v>1497</v>
      </c>
      <c r="P375" s="20">
        <f t="shared" si="34"/>
        <v>299.40000000000003</v>
      </c>
      <c r="R375" s="25">
        <f t="shared" si="35"/>
        <v>4491</v>
      </c>
      <c r="S375" s="24">
        <f t="shared" si="36"/>
        <v>0</v>
      </c>
    </row>
    <row r="376" spans="1:19" ht="15.6" thickTop="1" thickBot="1" x14ac:dyDescent="0.35">
      <c r="A376" s="8" t="s">
        <v>670</v>
      </c>
      <c r="B376" s="14">
        <v>47231</v>
      </c>
      <c r="C376" s="14" t="str">
        <f t="shared" si="31"/>
        <v>2029</v>
      </c>
      <c r="D376" s="14" t="str">
        <f t="shared" si="32"/>
        <v>04</v>
      </c>
      <c r="E376" s="9" t="s">
        <v>30</v>
      </c>
      <c r="F376" s="9" t="s">
        <v>15</v>
      </c>
      <c r="G376" s="9" t="s">
        <v>38</v>
      </c>
      <c r="H376" s="9" t="s">
        <v>32</v>
      </c>
      <c r="I376" s="9" t="s">
        <v>33</v>
      </c>
      <c r="J376" s="9">
        <v>1</v>
      </c>
      <c r="K376" s="9">
        <v>1499</v>
      </c>
      <c r="L376" s="9">
        <v>0</v>
      </c>
      <c r="M376" s="9">
        <v>1037.6500000000001</v>
      </c>
      <c r="N376" s="9" t="s">
        <v>34</v>
      </c>
      <c r="O376" s="15">
        <f t="shared" si="33"/>
        <v>1499</v>
      </c>
      <c r="P376" s="20">
        <f t="shared" si="34"/>
        <v>0</v>
      </c>
      <c r="R376" s="25">
        <f t="shared" si="35"/>
        <v>1499</v>
      </c>
      <c r="S376" s="24">
        <f t="shared" si="36"/>
        <v>0</v>
      </c>
    </row>
    <row r="377" spans="1:19" ht="15.6" thickTop="1" thickBot="1" x14ac:dyDescent="0.35">
      <c r="A377" s="7" t="s">
        <v>671</v>
      </c>
      <c r="B377" s="14">
        <v>47232</v>
      </c>
      <c r="C377" s="14" t="str">
        <f t="shared" si="31"/>
        <v>2029</v>
      </c>
      <c r="D377" s="14" t="str">
        <f t="shared" si="32"/>
        <v>04</v>
      </c>
      <c r="E377" s="3" t="s">
        <v>82</v>
      </c>
      <c r="F377" s="3" t="s">
        <v>15</v>
      </c>
      <c r="G377" s="3" t="s">
        <v>31</v>
      </c>
      <c r="H377" s="3" t="s">
        <v>17</v>
      </c>
      <c r="I377" s="3" t="s">
        <v>74</v>
      </c>
      <c r="J377" s="3">
        <v>5</v>
      </c>
      <c r="K377" s="3">
        <v>240</v>
      </c>
      <c r="L377" s="3">
        <v>0.1</v>
      </c>
      <c r="M377" s="3">
        <v>812.57</v>
      </c>
      <c r="N377" s="3" t="s">
        <v>67</v>
      </c>
      <c r="O377" s="15">
        <f t="shared" si="33"/>
        <v>1200</v>
      </c>
      <c r="P377" s="20">
        <f t="shared" si="34"/>
        <v>120</v>
      </c>
      <c r="R377" s="25">
        <f t="shared" si="35"/>
        <v>6000</v>
      </c>
      <c r="S377" s="24">
        <f t="shared" si="36"/>
        <v>0</v>
      </c>
    </row>
    <row r="378" spans="1:19" ht="15.6" thickTop="1" thickBot="1" x14ac:dyDescent="0.35">
      <c r="A378" s="8" t="s">
        <v>673</v>
      </c>
      <c r="B378" s="14">
        <v>47233</v>
      </c>
      <c r="C378" s="14" t="str">
        <f t="shared" si="31"/>
        <v>2029</v>
      </c>
      <c r="D378" s="14" t="str">
        <f t="shared" si="32"/>
        <v>04</v>
      </c>
      <c r="E378" s="9" t="s">
        <v>73</v>
      </c>
      <c r="F378" s="9" t="s">
        <v>23</v>
      </c>
      <c r="G378" s="9" t="s">
        <v>31</v>
      </c>
      <c r="H378" s="9" t="s">
        <v>32</v>
      </c>
      <c r="I378" s="9" t="s">
        <v>51</v>
      </c>
      <c r="J378" s="9">
        <v>7</v>
      </c>
      <c r="K378" s="9">
        <v>699</v>
      </c>
      <c r="L378" s="9">
        <v>0.2</v>
      </c>
      <c r="M378" s="9">
        <v>2841.33</v>
      </c>
      <c r="N378" s="9" t="s">
        <v>19</v>
      </c>
      <c r="O378" s="15">
        <f t="shared" si="33"/>
        <v>4893</v>
      </c>
      <c r="P378" s="20">
        <f t="shared" si="34"/>
        <v>978.6</v>
      </c>
      <c r="R378" s="25">
        <f t="shared" si="35"/>
        <v>34251</v>
      </c>
      <c r="S378" s="24">
        <f t="shared" si="36"/>
        <v>0</v>
      </c>
    </row>
    <row r="379" spans="1:19" ht="15.6" thickTop="1" thickBot="1" x14ac:dyDescent="0.35">
      <c r="A379" s="7" t="s">
        <v>674</v>
      </c>
      <c r="B379" s="14">
        <v>47234</v>
      </c>
      <c r="C379" s="14" t="str">
        <f t="shared" si="31"/>
        <v>2029</v>
      </c>
      <c r="D379" s="14" t="str">
        <f t="shared" si="32"/>
        <v>04</v>
      </c>
      <c r="E379" s="3" t="s">
        <v>43</v>
      </c>
      <c r="F379" s="3" t="s">
        <v>23</v>
      </c>
      <c r="G379" s="3" t="s">
        <v>38</v>
      </c>
      <c r="H379" s="3" t="s">
        <v>675</v>
      </c>
      <c r="I379" s="3" t="s">
        <v>250</v>
      </c>
      <c r="J379" s="3">
        <v>2</v>
      </c>
      <c r="K379" s="3">
        <v>299</v>
      </c>
      <c r="L379" s="3">
        <v>0.1</v>
      </c>
      <c r="M379" s="3">
        <v>506.21</v>
      </c>
      <c r="N379" s="3" t="s">
        <v>44</v>
      </c>
      <c r="O379" s="15">
        <f t="shared" si="33"/>
        <v>598</v>
      </c>
      <c r="P379" s="20">
        <f t="shared" si="34"/>
        <v>59.800000000000004</v>
      </c>
      <c r="R379" s="25">
        <f t="shared" si="35"/>
        <v>1196</v>
      </c>
      <c r="S379" s="24">
        <f t="shared" si="36"/>
        <v>0</v>
      </c>
    </row>
    <row r="380" spans="1:19" ht="15.6" thickTop="1" thickBot="1" x14ac:dyDescent="0.35">
      <c r="A380" s="8" t="s">
        <v>676</v>
      </c>
      <c r="B380" s="14">
        <v>47235</v>
      </c>
      <c r="C380" s="14" t="str">
        <f t="shared" si="31"/>
        <v>2029</v>
      </c>
      <c r="D380" s="14" t="str">
        <f t="shared" si="32"/>
        <v>04</v>
      </c>
      <c r="E380" s="9" t="s">
        <v>63</v>
      </c>
      <c r="F380" s="9" t="s">
        <v>23</v>
      </c>
      <c r="G380" s="9" t="s">
        <v>31</v>
      </c>
      <c r="H380" s="9" t="s">
        <v>39</v>
      </c>
      <c r="I380" s="9" t="s">
        <v>210</v>
      </c>
      <c r="J380" s="9">
        <v>4</v>
      </c>
      <c r="K380" s="9">
        <v>1999</v>
      </c>
      <c r="L380" s="9">
        <v>0</v>
      </c>
      <c r="M380" s="9">
        <v>6329.87</v>
      </c>
      <c r="N380" s="9" t="s">
        <v>19</v>
      </c>
      <c r="O380" s="15">
        <f t="shared" si="33"/>
        <v>7996</v>
      </c>
      <c r="P380" s="20">
        <f t="shared" si="34"/>
        <v>0</v>
      </c>
      <c r="R380" s="25">
        <f t="shared" si="35"/>
        <v>31984</v>
      </c>
      <c r="S380" s="24">
        <f t="shared" si="36"/>
        <v>0</v>
      </c>
    </row>
    <row r="381" spans="1:19" ht="15.6" thickTop="1" thickBot="1" x14ac:dyDescent="0.35">
      <c r="A381" s="7" t="s">
        <v>678</v>
      </c>
      <c r="B381" s="14">
        <v>47236</v>
      </c>
      <c r="C381" s="14" t="str">
        <f t="shared" si="31"/>
        <v>2029</v>
      </c>
      <c r="D381" s="14" t="str">
        <f t="shared" si="32"/>
        <v>04</v>
      </c>
      <c r="E381" s="3" t="s">
        <v>43</v>
      </c>
      <c r="F381" s="3" t="s">
        <v>15</v>
      </c>
      <c r="G381" s="3" t="s">
        <v>16</v>
      </c>
      <c r="H381" s="3" t="s">
        <v>25</v>
      </c>
      <c r="I381" s="3" t="s">
        <v>250</v>
      </c>
      <c r="J381" s="3">
        <v>5</v>
      </c>
      <c r="K381" s="3">
        <v>299</v>
      </c>
      <c r="L381" s="3">
        <v>0.1</v>
      </c>
      <c r="M381" s="3">
        <v>1229</v>
      </c>
      <c r="N381" s="3" t="s">
        <v>67</v>
      </c>
      <c r="O381" s="15">
        <f t="shared" si="33"/>
        <v>1495</v>
      </c>
      <c r="P381" s="20">
        <f t="shared" si="34"/>
        <v>149.5</v>
      </c>
      <c r="R381" s="25">
        <f t="shared" si="35"/>
        <v>7475</v>
      </c>
      <c r="S381" s="24">
        <f t="shared" si="36"/>
        <v>0</v>
      </c>
    </row>
    <row r="382" spans="1:19" ht="15.6" thickTop="1" thickBot="1" x14ac:dyDescent="0.35">
      <c r="A382" s="8" t="s">
        <v>679</v>
      </c>
      <c r="B382" s="14">
        <v>47237</v>
      </c>
      <c r="C382" s="14" t="str">
        <f t="shared" si="31"/>
        <v>2029</v>
      </c>
      <c r="D382" s="14" t="str">
        <f t="shared" si="32"/>
        <v>04</v>
      </c>
      <c r="E382" s="9" t="s">
        <v>92</v>
      </c>
      <c r="F382" s="9" t="s">
        <v>15</v>
      </c>
      <c r="G382" s="9" t="s">
        <v>38</v>
      </c>
      <c r="H382" s="9" t="s">
        <v>39</v>
      </c>
      <c r="I382" s="9" t="s">
        <v>210</v>
      </c>
      <c r="J382" s="9">
        <v>8</v>
      </c>
      <c r="K382" s="9">
        <v>1999</v>
      </c>
      <c r="L382" s="9">
        <v>0.1</v>
      </c>
      <c r="M382" s="9">
        <v>11229.49</v>
      </c>
      <c r="N382" s="9" t="s">
        <v>34</v>
      </c>
      <c r="O382" s="15">
        <f t="shared" si="33"/>
        <v>15992</v>
      </c>
      <c r="P382" s="20">
        <f t="shared" si="34"/>
        <v>1599.2</v>
      </c>
      <c r="R382" s="25">
        <f t="shared" si="35"/>
        <v>127936</v>
      </c>
      <c r="S382" s="24">
        <f t="shared" si="36"/>
        <v>0</v>
      </c>
    </row>
    <row r="383" spans="1:19" ht="15.6" thickTop="1" thickBot="1" x14ac:dyDescent="0.35">
      <c r="A383" s="7" t="s">
        <v>681</v>
      </c>
      <c r="B383" s="14">
        <v>47238</v>
      </c>
      <c r="C383" s="14" t="str">
        <f t="shared" si="31"/>
        <v>2029</v>
      </c>
      <c r="D383" s="14" t="str">
        <f t="shared" si="32"/>
        <v>04</v>
      </c>
      <c r="E383" s="3" t="s">
        <v>76</v>
      </c>
      <c r="F383" s="3" t="s">
        <v>15</v>
      </c>
      <c r="G383" s="3" t="s">
        <v>38</v>
      </c>
      <c r="H383" s="3" t="s">
        <v>25</v>
      </c>
      <c r="I383" s="3" t="s">
        <v>250</v>
      </c>
      <c r="J383" s="3">
        <v>3</v>
      </c>
      <c r="K383" s="3">
        <v>299</v>
      </c>
      <c r="L383" s="3">
        <v>0.1</v>
      </c>
      <c r="M383" s="3">
        <v>688.5</v>
      </c>
      <c r="N383" s="3" t="s">
        <v>19</v>
      </c>
      <c r="O383" s="15">
        <f t="shared" si="33"/>
        <v>897</v>
      </c>
      <c r="P383" s="20">
        <f t="shared" si="34"/>
        <v>89.7</v>
      </c>
      <c r="R383" s="25">
        <f t="shared" si="35"/>
        <v>2691</v>
      </c>
      <c r="S383" s="24">
        <f t="shared" si="36"/>
        <v>0</v>
      </c>
    </row>
    <row r="384" spans="1:19" ht="15.6" thickTop="1" thickBot="1" x14ac:dyDescent="0.35">
      <c r="A384" s="8" t="s">
        <v>682</v>
      </c>
      <c r="B384" s="14">
        <v>47239</v>
      </c>
      <c r="C384" s="14" t="str">
        <f t="shared" si="31"/>
        <v>2029</v>
      </c>
      <c r="D384" s="14" t="str">
        <f t="shared" si="32"/>
        <v>05</v>
      </c>
      <c r="E384" s="9" t="s">
        <v>43</v>
      </c>
      <c r="F384" s="9" t="s">
        <v>15</v>
      </c>
      <c r="G384" s="9" t="s">
        <v>31</v>
      </c>
      <c r="H384" s="9" t="s">
        <v>17</v>
      </c>
      <c r="I384" s="9" t="s">
        <v>18</v>
      </c>
      <c r="J384" s="9">
        <v>5</v>
      </c>
      <c r="K384" s="9">
        <v>420</v>
      </c>
      <c r="L384" s="9">
        <v>0.15</v>
      </c>
      <c r="M384" s="9">
        <v>1651.5</v>
      </c>
      <c r="N384" s="9" t="s">
        <v>44</v>
      </c>
      <c r="O384" s="15">
        <f t="shared" si="33"/>
        <v>2100</v>
      </c>
      <c r="P384" s="20">
        <f t="shared" si="34"/>
        <v>315</v>
      </c>
      <c r="R384" s="25">
        <f t="shared" si="35"/>
        <v>10500</v>
      </c>
      <c r="S384" s="24">
        <f t="shared" si="36"/>
        <v>0</v>
      </c>
    </row>
    <row r="385" spans="1:19" ht="15.6" thickTop="1" thickBot="1" x14ac:dyDescent="0.35">
      <c r="A385" s="7" t="s">
        <v>684</v>
      </c>
      <c r="B385" s="14">
        <v>47240</v>
      </c>
      <c r="C385" s="14" t="str">
        <f t="shared" si="31"/>
        <v>2029</v>
      </c>
      <c r="D385" s="14" t="str">
        <f t="shared" si="32"/>
        <v>05</v>
      </c>
      <c r="E385" s="3" t="s">
        <v>63</v>
      </c>
      <c r="F385" s="3" t="s">
        <v>23</v>
      </c>
      <c r="G385" s="3" t="s">
        <v>59</v>
      </c>
      <c r="H385" s="3" t="s">
        <v>25</v>
      </c>
      <c r="I385" s="3" t="s">
        <v>250</v>
      </c>
      <c r="J385" s="3">
        <v>1</v>
      </c>
      <c r="K385" s="3">
        <v>299</v>
      </c>
      <c r="L385" s="3">
        <v>0.2</v>
      </c>
      <c r="M385" s="3">
        <v>216.5</v>
      </c>
      <c r="N385" s="3" t="s">
        <v>19</v>
      </c>
      <c r="O385" s="15">
        <f t="shared" si="33"/>
        <v>299</v>
      </c>
      <c r="P385" s="20">
        <f t="shared" si="34"/>
        <v>59.800000000000004</v>
      </c>
      <c r="R385" s="25">
        <f t="shared" si="35"/>
        <v>299</v>
      </c>
      <c r="S385" s="24">
        <f t="shared" si="36"/>
        <v>0</v>
      </c>
    </row>
    <row r="386" spans="1:19" ht="15.6" thickTop="1" thickBot="1" x14ac:dyDescent="0.35">
      <c r="A386" s="8" t="s">
        <v>685</v>
      </c>
      <c r="B386" s="14">
        <v>47241</v>
      </c>
      <c r="C386" s="14" t="str">
        <f t="shared" si="31"/>
        <v>2029</v>
      </c>
      <c r="D386" s="14" t="str">
        <f t="shared" si="32"/>
        <v>05</v>
      </c>
      <c r="E386" s="9" t="s">
        <v>73</v>
      </c>
      <c r="F386" s="9" t="s">
        <v>15</v>
      </c>
      <c r="G386" s="9" t="s">
        <v>47</v>
      </c>
      <c r="H386" s="9" t="s">
        <v>25</v>
      </c>
      <c r="I386" s="9" t="s">
        <v>250</v>
      </c>
      <c r="J386" s="9">
        <v>5</v>
      </c>
      <c r="K386" s="9">
        <v>299</v>
      </c>
      <c r="L386" s="9">
        <v>0.15</v>
      </c>
      <c r="M386" s="9">
        <v>846.5</v>
      </c>
      <c r="N386" s="9" t="s">
        <v>34</v>
      </c>
      <c r="O386" s="15">
        <f t="shared" si="33"/>
        <v>1495</v>
      </c>
      <c r="P386" s="20">
        <f t="shared" si="34"/>
        <v>224.25</v>
      </c>
      <c r="R386" s="25">
        <f t="shared" si="35"/>
        <v>7475</v>
      </c>
      <c r="S386" s="24">
        <f t="shared" si="36"/>
        <v>0</v>
      </c>
    </row>
    <row r="387" spans="1:19" ht="15.6" thickTop="1" thickBot="1" x14ac:dyDescent="0.35">
      <c r="A387" s="7" t="s">
        <v>686</v>
      </c>
      <c r="B387" s="14">
        <v>47242</v>
      </c>
      <c r="C387" s="14" t="str">
        <f t="shared" ref="C387:C450" si="37">TEXT(B387,"YYYY")</f>
        <v>2029</v>
      </c>
      <c r="D387" s="14" t="str">
        <f t="shared" ref="D387:D450" si="38">TEXT(B387,"MM")</f>
        <v>05</v>
      </c>
      <c r="E387" s="3" t="s">
        <v>30</v>
      </c>
      <c r="F387" s="3" t="s">
        <v>23</v>
      </c>
      <c r="G387" s="3" t="s">
        <v>59</v>
      </c>
      <c r="H387" s="3" t="s">
        <v>32</v>
      </c>
      <c r="I387" s="3" t="s">
        <v>60</v>
      </c>
      <c r="J387" s="3">
        <v>6</v>
      </c>
      <c r="K387" s="3">
        <v>1299</v>
      </c>
      <c r="L387" s="3">
        <v>0.05</v>
      </c>
      <c r="M387" s="3">
        <v>6108.02</v>
      </c>
      <c r="N387" s="3" t="s">
        <v>67</v>
      </c>
      <c r="O387" s="15">
        <f t="shared" ref="O387:O450" si="39">J387*K387</f>
        <v>7794</v>
      </c>
      <c r="P387" s="20">
        <f t="shared" ref="P387:P450" si="40">O387*L387</f>
        <v>389.70000000000005</v>
      </c>
      <c r="R387" s="25">
        <f t="shared" ref="R387:R450" si="41">J387*(O387)</f>
        <v>46764</v>
      </c>
      <c r="S387" s="24">
        <f t="shared" ref="S387:S450" si="42">IFERROR(R387 / Q387,0)</f>
        <v>0</v>
      </c>
    </row>
    <row r="388" spans="1:19" ht="15.6" thickTop="1" thickBot="1" x14ac:dyDescent="0.35">
      <c r="A388" s="8" t="s">
        <v>687</v>
      </c>
      <c r="B388" s="14">
        <v>47243</v>
      </c>
      <c r="C388" s="14" t="str">
        <f t="shared" si="37"/>
        <v>2029</v>
      </c>
      <c r="D388" s="14" t="str">
        <f t="shared" si="38"/>
        <v>05</v>
      </c>
      <c r="E388" s="9" t="s">
        <v>82</v>
      </c>
      <c r="F388" s="9" t="s">
        <v>23</v>
      </c>
      <c r="G388" s="9" t="s">
        <v>16</v>
      </c>
      <c r="H388" s="9" t="s">
        <v>25</v>
      </c>
      <c r="I388" s="9" t="s">
        <v>26</v>
      </c>
      <c r="J388" s="9">
        <v>8</v>
      </c>
      <c r="K388" s="9">
        <v>599</v>
      </c>
      <c r="L388" s="9">
        <v>0.1</v>
      </c>
      <c r="M388" s="9">
        <v>2936.61</v>
      </c>
      <c r="N388" s="9" t="s">
        <v>34</v>
      </c>
      <c r="O388" s="15">
        <f t="shared" si="39"/>
        <v>4792</v>
      </c>
      <c r="P388" s="20">
        <f t="shared" si="40"/>
        <v>479.20000000000005</v>
      </c>
      <c r="R388" s="25">
        <f t="shared" si="41"/>
        <v>38336</v>
      </c>
      <c r="S388" s="24">
        <f t="shared" si="42"/>
        <v>0</v>
      </c>
    </row>
    <row r="389" spans="1:19" ht="15.6" thickTop="1" thickBot="1" x14ac:dyDescent="0.35">
      <c r="A389" s="7" t="s">
        <v>689</v>
      </c>
      <c r="B389" s="14">
        <v>47244</v>
      </c>
      <c r="C389" s="14" t="str">
        <f t="shared" si="37"/>
        <v>2029</v>
      </c>
      <c r="D389" s="14" t="str">
        <f t="shared" si="38"/>
        <v>05</v>
      </c>
      <c r="E389" s="3" t="s">
        <v>82</v>
      </c>
      <c r="F389" s="3" t="s">
        <v>23</v>
      </c>
      <c r="G389" s="3" t="s">
        <v>24</v>
      </c>
      <c r="H389" s="3" t="s">
        <v>39</v>
      </c>
      <c r="I389" s="3" t="s">
        <v>210</v>
      </c>
      <c r="J389" s="3">
        <v>7</v>
      </c>
      <c r="K389" s="3">
        <v>1999</v>
      </c>
      <c r="L389" s="3">
        <v>0.15</v>
      </c>
      <c r="M389" s="3">
        <v>9389.56</v>
      </c>
      <c r="N389" s="3" t="s">
        <v>67</v>
      </c>
      <c r="O389" s="15">
        <f t="shared" si="39"/>
        <v>13993</v>
      </c>
      <c r="P389" s="20">
        <f t="shared" si="40"/>
        <v>2098.9499999999998</v>
      </c>
      <c r="R389" s="25">
        <f t="shared" si="41"/>
        <v>97951</v>
      </c>
      <c r="S389" s="24">
        <f t="shared" si="42"/>
        <v>0</v>
      </c>
    </row>
    <row r="390" spans="1:19" ht="15.6" thickTop="1" thickBot="1" x14ac:dyDescent="0.35">
      <c r="A390" s="8" t="s">
        <v>690</v>
      </c>
      <c r="B390" s="14">
        <v>47245</v>
      </c>
      <c r="C390" s="14" t="str">
        <f t="shared" si="37"/>
        <v>2029</v>
      </c>
      <c r="D390" s="14" t="str">
        <f t="shared" si="38"/>
        <v>05</v>
      </c>
      <c r="E390" s="9" t="s">
        <v>92</v>
      </c>
      <c r="F390" s="9" t="s">
        <v>15</v>
      </c>
      <c r="G390" s="9" t="s">
        <v>47</v>
      </c>
      <c r="H390" s="9" t="s">
        <v>39</v>
      </c>
      <c r="I390" s="9" t="s">
        <v>106</v>
      </c>
      <c r="J390" s="9">
        <v>1</v>
      </c>
      <c r="K390" s="9">
        <v>999</v>
      </c>
      <c r="L390" s="9">
        <v>0.1</v>
      </c>
      <c r="M390" s="9">
        <v>776.28</v>
      </c>
      <c r="N390" s="9" t="s">
        <v>19</v>
      </c>
      <c r="O390" s="15">
        <f t="shared" si="39"/>
        <v>999</v>
      </c>
      <c r="P390" s="20">
        <f t="shared" si="40"/>
        <v>99.9</v>
      </c>
      <c r="R390" s="25">
        <f t="shared" si="41"/>
        <v>999</v>
      </c>
      <c r="S390" s="24">
        <f t="shared" si="42"/>
        <v>0</v>
      </c>
    </row>
    <row r="391" spans="1:19" ht="15.6" thickTop="1" thickBot="1" x14ac:dyDescent="0.35">
      <c r="A391" s="7" t="s">
        <v>692</v>
      </c>
      <c r="B391" s="14">
        <v>47246</v>
      </c>
      <c r="C391" s="14" t="str">
        <f t="shared" si="37"/>
        <v>2029</v>
      </c>
      <c r="D391" s="14" t="str">
        <f t="shared" si="38"/>
        <v>05</v>
      </c>
      <c r="E391" s="3" t="s">
        <v>92</v>
      </c>
      <c r="F391" s="3" t="s">
        <v>15</v>
      </c>
      <c r="G391" s="3" t="s">
        <v>16</v>
      </c>
      <c r="H391" s="3" t="s">
        <v>39</v>
      </c>
      <c r="I391" s="3" t="s">
        <v>40</v>
      </c>
      <c r="J391" s="3">
        <v>6</v>
      </c>
      <c r="K391" s="3">
        <v>1599</v>
      </c>
      <c r="L391" s="3">
        <v>0.1</v>
      </c>
      <c r="M391" s="3">
        <v>5647.79</v>
      </c>
      <c r="N391" s="3" t="s">
        <v>67</v>
      </c>
      <c r="O391" s="15">
        <f t="shared" si="39"/>
        <v>9594</v>
      </c>
      <c r="P391" s="20">
        <f t="shared" si="40"/>
        <v>959.40000000000009</v>
      </c>
      <c r="R391" s="25">
        <f t="shared" si="41"/>
        <v>57564</v>
      </c>
      <c r="S391" s="24">
        <f t="shared" si="42"/>
        <v>0</v>
      </c>
    </row>
    <row r="392" spans="1:19" ht="15.6" thickTop="1" thickBot="1" x14ac:dyDescent="0.35">
      <c r="A392" s="8" t="s">
        <v>693</v>
      </c>
      <c r="B392" s="14">
        <v>47247</v>
      </c>
      <c r="C392" s="14" t="str">
        <f t="shared" si="37"/>
        <v>2029</v>
      </c>
      <c r="D392" s="14" t="str">
        <f t="shared" si="38"/>
        <v>05</v>
      </c>
      <c r="E392" s="9" t="s">
        <v>22</v>
      </c>
      <c r="F392" s="9" t="s">
        <v>23</v>
      </c>
      <c r="G392" s="9" t="s">
        <v>31</v>
      </c>
      <c r="H392" s="9" t="s">
        <v>25</v>
      </c>
      <c r="I392" s="9" t="s">
        <v>26</v>
      </c>
      <c r="J392" s="9">
        <v>5</v>
      </c>
      <c r="K392" s="9">
        <v>599</v>
      </c>
      <c r="L392" s="9">
        <v>0.1</v>
      </c>
      <c r="M392" s="9">
        <v>2056.9</v>
      </c>
      <c r="N392" s="9" t="s">
        <v>19</v>
      </c>
      <c r="O392" s="15">
        <f t="shared" si="39"/>
        <v>2995</v>
      </c>
      <c r="P392" s="20">
        <f t="shared" si="40"/>
        <v>299.5</v>
      </c>
      <c r="R392" s="25">
        <f t="shared" si="41"/>
        <v>14975</v>
      </c>
      <c r="S392" s="24">
        <f t="shared" si="42"/>
        <v>0</v>
      </c>
    </row>
    <row r="393" spans="1:19" ht="15.6" thickTop="1" thickBot="1" x14ac:dyDescent="0.35">
      <c r="A393" s="7" t="s">
        <v>694</v>
      </c>
      <c r="B393" s="14">
        <v>47248</v>
      </c>
      <c r="C393" s="14" t="str">
        <f t="shared" si="37"/>
        <v>2029</v>
      </c>
      <c r="D393" s="14" t="str">
        <f t="shared" si="38"/>
        <v>05</v>
      </c>
      <c r="E393" s="3" t="s">
        <v>76</v>
      </c>
      <c r="F393" s="3" t="s">
        <v>23</v>
      </c>
      <c r="G393" s="3" t="s">
        <v>59</v>
      </c>
      <c r="H393" s="3" t="s">
        <v>39</v>
      </c>
      <c r="I393" s="3" t="s">
        <v>106</v>
      </c>
      <c r="J393" s="3">
        <v>8</v>
      </c>
      <c r="K393" s="3">
        <v>999</v>
      </c>
      <c r="L393" s="3">
        <v>0.1</v>
      </c>
      <c r="M393" s="3">
        <v>6194.08</v>
      </c>
      <c r="N393" s="3" t="s">
        <v>34</v>
      </c>
      <c r="O393" s="15">
        <f t="shared" si="39"/>
        <v>7992</v>
      </c>
      <c r="P393" s="20">
        <f t="shared" si="40"/>
        <v>799.2</v>
      </c>
      <c r="R393" s="25">
        <f t="shared" si="41"/>
        <v>63936</v>
      </c>
      <c r="S393" s="24">
        <f t="shared" si="42"/>
        <v>0</v>
      </c>
    </row>
    <row r="394" spans="1:19" ht="15.6" thickTop="1" thickBot="1" x14ac:dyDescent="0.35">
      <c r="A394" s="8" t="s">
        <v>695</v>
      </c>
      <c r="B394" s="14">
        <v>47249</v>
      </c>
      <c r="C394" s="14" t="str">
        <f t="shared" si="37"/>
        <v>2029</v>
      </c>
      <c r="D394" s="14" t="str">
        <f t="shared" si="38"/>
        <v>05</v>
      </c>
      <c r="E394" s="9" t="s">
        <v>92</v>
      </c>
      <c r="F394" s="9" t="s">
        <v>15</v>
      </c>
      <c r="G394" s="9" t="s">
        <v>31</v>
      </c>
      <c r="H394" s="9" t="s">
        <v>39</v>
      </c>
      <c r="I394" s="9" t="s">
        <v>40</v>
      </c>
      <c r="J394" s="9">
        <v>1</v>
      </c>
      <c r="K394" s="9">
        <v>1599</v>
      </c>
      <c r="L394" s="9">
        <v>0.2</v>
      </c>
      <c r="M394" s="9">
        <v>1121.52</v>
      </c>
      <c r="N394" s="9" t="s">
        <v>27</v>
      </c>
      <c r="O394" s="15">
        <f t="shared" si="39"/>
        <v>1599</v>
      </c>
      <c r="P394" s="20">
        <f t="shared" si="40"/>
        <v>319.8</v>
      </c>
      <c r="R394" s="25">
        <f t="shared" si="41"/>
        <v>1599</v>
      </c>
      <c r="S394" s="24">
        <f t="shared" si="42"/>
        <v>0</v>
      </c>
    </row>
    <row r="395" spans="1:19" ht="15.6" thickTop="1" thickBot="1" x14ac:dyDescent="0.35">
      <c r="A395" s="7" t="s">
        <v>696</v>
      </c>
      <c r="B395" s="14">
        <v>47250</v>
      </c>
      <c r="C395" s="14" t="str">
        <f t="shared" si="37"/>
        <v>2029</v>
      </c>
      <c r="D395" s="14" t="str">
        <f t="shared" si="38"/>
        <v>05</v>
      </c>
      <c r="E395" s="3" t="s">
        <v>92</v>
      </c>
      <c r="F395" s="3" t="s">
        <v>23</v>
      </c>
      <c r="G395" s="3" t="s">
        <v>16</v>
      </c>
      <c r="H395" s="3" t="s">
        <v>17</v>
      </c>
      <c r="I395" s="3" t="s">
        <v>74</v>
      </c>
      <c r="J395" s="3">
        <v>1</v>
      </c>
      <c r="K395" s="3">
        <v>240</v>
      </c>
      <c r="L395" s="3">
        <v>0.2</v>
      </c>
      <c r="M395" s="3">
        <v>203.62</v>
      </c>
      <c r="N395" s="3" t="s">
        <v>27</v>
      </c>
      <c r="O395" s="15">
        <f t="shared" si="39"/>
        <v>240</v>
      </c>
      <c r="P395" s="20">
        <f t="shared" si="40"/>
        <v>48</v>
      </c>
      <c r="R395" s="25">
        <f t="shared" si="41"/>
        <v>240</v>
      </c>
      <c r="S395" s="24">
        <f t="shared" si="42"/>
        <v>0</v>
      </c>
    </row>
    <row r="396" spans="1:19" ht="15.6" thickTop="1" thickBot="1" x14ac:dyDescent="0.35">
      <c r="A396" s="8" t="s">
        <v>698</v>
      </c>
      <c r="B396" s="14">
        <v>47251</v>
      </c>
      <c r="C396" s="14" t="str">
        <f t="shared" si="37"/>
        <v>2029</v>
      </c>
      <c r="D396" s="14" t="str">
        <f t="shared" si="38"/>
        <v>05</v>
      </c>
      <c r="E396" s="9" t="s">
        <v>92</v>
      </c>
      <c r="F396" s="9" t="s">
        <v>15</v>
      </c>
      <c r="G396" s="9" t="s">
        <v>16</v>
      </c>
      <c r="H396" s="9" t="s">
        <v>25</v>
      </c>
      <c r="I396" s="9" t="s">
        <v>250</v>
      </c>
      <c r="J396" s="9">
        <v>8</v>
      </c>
      <c r="K396" s="9">
        <v>299</v>
      </c>
      <c r="L396" s="9">
        <v>0.15</v>
      </c>
      <c r="M396" s="9">
        <v>1404.29</v>
      </c>
      <c r="N396" s="9" t="s">
        <v>44</v>
      </c>
      <c r="O396" s="15">
        <f t="shared" si="39"/>
        <v>2392</v>
      </c>
      <c r="P396" s="20">
        <f t="shared" si="40"/>
        <v>358.8</v>
      </c>
      <c r="R396" s="25">
        <f t="shared" si="41"/>
        <v>19136</v>
      </c>
      <c r="S396" s="24">
        <f t="shared" si="42"/>
        <v>0</v>
      </c>
    </row>
    <row r="397" spans="1:19" ht="15.6" thickTop="1" thickBot="1" x14ac:dyDescent="0.35">
      <c r="A397" s="7" t="s">
        <v>700</v>
      </c>
      <c r="B397" s="14">
        <v>47252</v>
      </c>
      <c r="C397" s="14" t="str">
        <f t="shared" si="37"/>
        <v>2029</v>
      </c>
      <c r="D397" s="14" t="str">
        <f t="shared" si="38"/>
        <v>05</v>
      </c>
      <c r="E397" s="3" t="s">
        <v>82</v>
      </c>
      <c r="F397" s="3" t="s">
        <v>15</v>
      </c>
      <c r="G397" s="3" t="s">
        <v>16</v>
      </c>
      <c r="H397" s="3" t="s">
        <v>25</v>
      </c>
      <c r="I397" s="3" t="s">
        <v>56</v>
      </c>
      <c r="J397" s="3">
        <v>7</v>
      </c>
      <c r="K397" s="3">
        <v>1499</v>
      </c>
      <c r="L397" s="3">
        <v>0</v>
      </c>
      <c r="M397" s="3">
        <v>7856.58</v>
      </c>
      <c r="N397" s="3" t="s">
        <v>44</v>
      </c>
      <c r="O397" s="15">
        <f t="shared" si="39"/>
        <v>10493</v>
      </c>
      <c r="P397" s="20">
        <f t="shared" si="40"/>
        <v>0</v>
      </c>
      <c r="R397" s="25">
        <f t="shared" si="41"/>
        <v>73451</v>
      </c>
      <c r="S397" s="24">
        <f t="shared" si="42"/>
        <v>0</v>
      </c>
    </row>
    <row r="398" spans="1:19" ht="15.6" thickTop="1" thickBot="1" x14ac:dyDescent="0.35">
      <c r="A398" s="8" t="s">
        <v>701</v>
      </c>
      <c r="B398" s="14">
        <v>47253</v>
      </c>
      <c r="C398" s="14" t="str">
        <f t="shared" si="37"/>
        <v>2029</v>
      </c>
      <c r="D398" s="14" t="str">
        <f t="shared" si="38"/>
        <v>05</v>
      </c>
      <c r="E398" s="9" t="s">
        <v>22</v>
      </c>
      <c r="F398" s="9" t="s">
        <v>15</v>
      </c>
      <c r="G398" s="9" t="s">
        <v>59</v>
      </c>
      <c r="H398" s="9" t="s">
        <v>25</v>
      </c>
      <c r="I398" s="9" t="s">
        <v>70</v>
      </c>
      <c r="J398" s="9">
        <v>2</v>
      </c>
      <c r="K398" s="9">
        <v>1299</v>
      </c>
      <c r="L398" s="9">
        <v>0.1</v>
      </c>
      <c r="M398" s="9">
        <v>1517.76</v>
      </c>
      <c r="N398" s="9" t="s">
        <v>27</v>
      </c>
      <c r="O398" s="15">
        <f t="shared" si="39"/>
        <v>2598</v>
      </c>
      <c r="P398" s="20">
        <f t="shared" si="40"/>
        <v>259.8</v>
      </c>
      <c r="R398" s="25">
        <f t="shared" si="41"/>
        <v>5196</v>
      </c>
      <c r="S398" s="24">
        <f t="shared" si="42"/>
        <v>0</v>
      </c>
    </row>
    <row r="399" spans="1:19" ht="15.6" thickTop="1" thickBot="1" x14ac:dyDescent="0.35">
      <c r="A399" s="7" t="s">
        <v>703</v>
      </c>
      <c r="B399" s="14">
        <v>47254</v>
      </c>
      <c r="C399" s="14" t="str">
        <f t="shared" si="37"/>
        <v>2029</v>
      </c>
      <c r="D399" s="14" t="str">
        <f t="shared" si="38"/>
        <v>05</v>
      </c>
      <c r="E399" s="3" t="s">
        <v>30</v>
      </c>
      <c r="F399" s="3" t="s">
        <v>15</v>
      </c>
      <c r="G399" s="3" t="s">
        <v>38</v>
      </c>
      <c r="H399" s="3" t="s">
        <v>39</v>
      </c>
      <c r="I399" s="3" t="s">
        <v>106</v>
      </c>
      <c r="J399" s="3">
        <v>7</v>
      </c>
      <c r="K399" s="3">
        <v>999</v>
      </c>
      <c r="L399" s="3">
        <v>0.1</v>
      </c>
      <c r="M399" s="3">
        <v>4182.6000000000004</v>
      </c>
      <c r="N399" s="3" t="s">
        <v>19</v>
      </c>
      <c r="O399" s="15">
        <f t="shared" si="39"/>
        <v>6993</v>
      </c>
      <c r="P399" s="20">
        <f t="shared" si="40"/>
        <v>699.30000000000007</v>
      </c>
      <c r="R399" s="25">
        <f t="shared" si="41"/>
        <v>48951</v>
      </c>
      <c r="S399" s="24">
        <f t="shared" si="42"/>
        <v>0</v>
      </c>
    </row>
    <row r="400" spans="1:19" ht="15.6" thickTop="1" thickBot="1" x14ac:dyDescent="0.35">
      <c r="A400" s="8" t="s">
        <v>704</v>
      </c>
      <c r="B400" s="14">
        <v>47255</v>
      </c>
      <c r="C400" s="14" t="str">
        <f t="shared" si="37"/>
        <v>2029</v>
      </c>
      <c r="D400" s="14" t="str">
        <f t="shared" si="38"/>
        <v>05</v>
      </c>
      <c r="E400" s="9" t="s">
        <v>30</v>
      </c>
      <c r="F400" s="9" t="s">
        <v>23</v>
      </c>
      <c r="G400" s="9" t="s">
        <v>38</v>
      </c>
      <c r="H400" s="9" t="s">
        <v>39</v>
      </c>
      <c r="I400" s="9" t="s">
        <v>48</v>
      </c>
      <c r="J400" s="9">
        <v>1</v>
      </c>
      <c r="K400" s="9">
        <v>799</v>
      </c>
      <c r="L400" s="9">
        <v>0</v>
      </c>
      <c r="M400" s="9">
        <v>656.83</v>
      </c>
      <c r="N400" s="9" t="s">
        <v>19</v>
      </c>
      <c r="O400" s="15">
        <f t="shared" si="39"/>
        <v>799</v>
      </c>
      <c r="P400" s="20">
        <f t="shared" si="40"/>
        <v>0</v>
      </c>
      <c r="R400" s="25">
        <f t="shared" si="41"/>
        <v>799</v>
      </c>
      <c r="S400" s="24">
        <f t="shared" si="42"/>
        <v>0</v>
      </c>
    </row>
    <row r="401" spans="1:19" ht="15.6" thickTop="1" thickBot="1" x14ac:dyDescent="0.35">
      <c r="A401" s="7" t="s">
        <v>705</v>
      </c>
      <c r="B401" s="14">
        <v>47256</v>
      </c>
      <c r="C401" s="14" t="str">
        <f t="shared" si="37"/>
        <v>2029</v>
      </c>
      <c r="D401" s="14" t="str">
        <f t="shared" si="38"/>
        <v>05</v>
      </c>
      <c r="E401" s="3" t="s">
        <v>73</v>
      </c>
      <c r="F401" s="3" t="s">
        <v>15</v>
      </c>
      <c r="G401" s="3" t="s">
        <v>24</v>
      </c>
      <c r="H401" s="3" t="s">
        <v>25</v>
      </c>
      <c r="I401" s="3" t="s">
        <v>26</v>
      </c>
      <c r="J401" s="3">
        <v>5</v>
      </c>
      <c r="K401" s="3">
        <v>599</v>
      </c>
      <c r="L401" s="3">
        <v>0.05</v>
      </c>
      <c r="M401" s="3">
        <v>2057.64</v>
      </c>
      <c r="N401" s="3" t="s">
        <v>44</v>
      </c>
      <c r="O401" s="15">
        <f t="shared" si="39"/>
        <v>2995</v>
      </c>
      <c r="P401" s="20">
        <f t="shared" si="40"/>
        <v>149.75</v>
      </c>
      <c r="R401" s="25">
        <f t="shared" si="41"/>
        <v>14975</v>
      </c>
      <c r="S401" s="24">
        <f t="shared" si="42"/>
        <v>0</v>
      </c>
    </row>
    <row r="402" spans="1:19" ht="15.6" thickTop="1" thickBot="1" x14ac:dyDescent="0.35">
      <c r="A402" s="8" t="s">
        <v>707</v>
      </c>
      <c r="B402" s="14">
        <v>47257</v>
      </c>
      <c r="C402" s="14" t="str">
        <f t="shared" si="37"/>
        <v>2029</v>
      </c>
      <c r="D402" s="14" t="str">
        <f t="shared" si="38"/>
        <v>05</v>
      </c>
      <c r="E402" s="9" t="s">
        <v>73</v>
      </c>
      <c r="F402" s="9" t="s">
        <v>15</v>
      </c>
      <c r="G402" s="9" t="s">
        <v>24</v>
      </c>
      <c r="H402" s="9" t="s">
        <v>39</v>
      </c>
      <c r="I402" s="9" t="s">
        <v>48</v>
      </c>
      <c r="J402" s="9">
        <v>5</v>
      </c>
      <c r="K402" s="9">
        <v>799</v>
      </c>
      <c r="L402" s="9">
        <v>0.1</v>
      </c>
      <c r="M402" s="9">
        <v>3157.96</v>
      </c>
      <c r="N402" s="9" t="s">
        <v>44</v>
      </c>
      <c r="O402" s="15">
        <f t="shared" si="39"/>
        <v>3995</v>
      </c>
      <c r="P402" s="20">
        <f t="shared" si="40"/>
        <v>399.5</v>
      </c>
      <c r="R402" s="25">
        <f t="shared" si="41"/>
        <v>19975</v>
      </c>
      <c r="S402" s="24">
        <f t="shared" si="42"/>
        <v>0</v>
      </c>
    </row>
    <row r="403" spans="1:19" ht="15.6" thickTop="1" thickBot="1" x14ac:dyDescent="0.35">
      <c r="A403" s="7" t="s">
        <v>708</v>
      </c>
      <c r="B403" s="14">
        <v>47258</v>
      </c>
      <c r="C403" s="14" t="str">
        <f t="shared" si="37"/>
        <v>2029</v>
      </c>
      <c r="D403" s="14" t="str">
        <f t="shared" si="38"/>
        <v>05</v>
      </c>
      <c r="E403" s="3" t="s">
        <v>14</v>
      </c>
      <c r="F403" s="3" t="s">
        <v>15</v>
      </c>
      <c r="G403" s="3" t="s">
        <v>24</v>
      </c>
      <c r="H403" s="3" t="s">
        <v>25</v>
      </c>
      <c r="I403" s="3" t="s">
        <v>79</v>
      </c>
      <c r="J403" s="3">
        <v>3</v>
      </c>
      <c r="K403" s="3">
        <v>899</v>
      </c>
      <c r="L403" s="3">
        <v>0.1</v>
      </c>
      <c r="M403" s="3">
        <v>1772.63</v>
      </c>
      <c r="N403" s="3" t="s">
        <v>67</v>
      </c>
      <c r="O403" s="15">
        <f t="shared" si="39"/>
        <v>2697</v>
      </c>
      <c r="P403" s="20">
        <f t="shared" si="40"/>
        <v>269.7</v>
      </c>
      <c r="R403" s="25">
        <f t="shared" si="41"/>
        <v>8091</v>
      </c>
      <c r="S403" s="24">
        <f t="shared" si="42"/>
        <v>0</v>
      </c>
    </row>
    <row r="404" spans="1:19" ht="15.6" thickTop="1" thickBot="1" x14ac:dyDescent="0.35">
      <c r="A404" s="8" t="s">
        <v>710</v>
      </c>
      <c r="B404" s="14">
        <v>47259</v>
      </c>
      <c r="C404" s="14" t="str">
        <f t="shared" si="37"/>
        <v>2029</v>
      </c>
      <c r="D404" s="14" t="str">
        <f t="shared" si="38"/>
        <v>05</v>
      </c>
      <c r="E404" s="9" t="s">
        <v>63</v>
      </c>
      <c r="F404" s="9" t="s">
        <v>15</v>
      </c>
      <c r="G404" s="9" t="s">
        <v>38</v>
      </c>
      <c r="H404" s="9" t="s">
        <v>17</v>
      </c>
      <c r="I404" s="9" t="s">
        <v>18</v>
      </c>
      <c r="J404" s="9">
        <v>2</v>
      </c>
      <c r="K404" s="9">
        <v>420</v>
      </c>
      <c r="L404" s="9">
        <v>0.15</v>
      </c>
      <c r="M404" s="9">
        <v>562.86</v>
      </c>
      <c r="N404" s="9" t="s">
        <v>67</v>
      </c>
      <c r="O404" s="15">
        <f t="shared" si="39"/>
        <v>840</v>
      </c>
      <c r="P404" s="20">
        <f t="shared" si="40"/>
        <v>126</v>
      </c>
      <c r="R404" s="25">
        <f t="shared" si="41"/>
        <v>1680</v>
      </c>
      <c r="S404" s="24">
        <f t="shared" si="42"/>
        <v>0</v>
      </c>
    </row>
    <row r="405" spans="1:19" ht="15.6" thickTop="1" thickBot="1" x14ac:dyDescent="0.35">
      <c r="A405" s="7" t="s">
        <v>711</v>
      </c>
      <c r="B405" s="14">
        <v>47260</v>
      </c>
      <c r="C405" s="14" t="str">
        <f t="shared" si="37"/>
        <v>2029</v>
      </c>
      <c r="D405" s="14" t="str">
        <f t="shared" si="38"/>
        <v>05</v>
      </c>
      <c r="E405" s="3" t="s">
        <v>37</v>
      </c>
      <c r="F405" s="3" t="s">
        <v>23</v>
      </c>
      <c r="G405" s="3" t="s">
        <v>59</v>
      </c>
      <c r="H405" s="3" t="s">
        <v>39</v>
      </c>
      <c r="I405" s="3" t="s">
        <v>48</v>
      </c>
      <c r="J405" s="3">
        <v>3</v>
      </c>
      <c r="K405" s="3">
        <v>799</v>
      </c>
      <c r="L405" s="3">
        <v>0</v>
      </c>
      <c r="M405" s="3">
        <v>2024.2</v>
      </c>
      <c r="N405" s="3" t="s">
        <v>34</v>
      </c>
      <c r="O405" s="15">
        <f t="shared" si="39"/>
        <v>2397</v>
      </c>
      <c r="P405" s="20">
        <f t="shared" si="40"/>
        <v>0</v>
      </c>
      <c r="R405" s="25">
        <f t="shared" si="41"/>
        <v>7191</v>
      </c>
      <c r="S405" s="24">
        <f t="shared" si="42"/>
        <v>0</v>
      </c>
    </row>
    <row r="406" spans="1:19" ht="15.6" thickTop="1" thickBot="1" x14ac:dyDescent="0.35">
      <c r="A406" s="8" t="s">
        <v>712</v>
      </c>
      <c r="B406" s="14">
        <v>47261</v>
      </c>
      <c r="C406" s="14" t="str">
        <f t="shared" si="37"/>
        <v>2029</v>
      </c>
      <c r="D406" s="14" t="str">
        <f t="shared" si="38"/>
        <v>05</v>
      </c>
      <c r="E406" s="9" t="s">
        <v>37</v>
      </c>
      <c r="F406" s="9" t="s">
        <v>23</v>
      </c>
      <c r="G406" s="9" t="s">
        <v>47</v>
      </c>
      <c r="H406" s="9" t="s">
        <v>32</v>
      </c>
      <c r="I406" s="9" t="s">
        <v>60</v>
      </c>
      <c r="J406" s="9">
        <v>7</v>
      </c>
      <c r="K406" s="9">
        <v>1299</v>
      </c>
      <c r="L406" s="9">
        <v>0.1</v>
      </c>
      <c r="M406" s="9">
        <v>6668.87</v>
      </c>
      <c r="N406" s="9" t="s">
        <v>34</v>
      </c>
      <c r="O406" s="15">
        <f t="shared" si="39"/>
        <v>9093</v>
      </c>
      <c r="P406" s="20">
        <f t="shared" si="40"/>
        <v>909.30000000000007</v>
      </c>
      <c r="R406" s="25">
        <f t="shared" si="41"/>
        <v>63651</v>
      </c>
      <c r="S406" s="24">
        <f t="shared" si="42"/>
        <v>0</v>
      </c>
    </row>
    <row r="407" spans="1:19" ht="15.6" thickTop="1" thickBot="1" x14ac:dyDescent="0.35">
      <c r="A407" s="7" t="s">
        <v>714</v>
      </c>
      <c r="B407" s="14">
        <v>47262</v>
      </c>
      <c r="C407" s="14" t="str">
        <f t="shared" si="37"/>
        <v>2029</v>
      </c>
      <c r="D407" s="14" t="str">
        <f t="shared" si="38"/>
        <v>05</v>
      </c>
      <c r="E407" s="3" t="s">
        <v>73</v>
      </c>
      <c r="F407" s="3" t="s">
        <v>15</v>
      </c>
      <c r="G407" s="3" t="s">
        <v>59</v>
      </c>
      <c r="H407" s="3" t="s">
        <v>32</v>
      </c>
      <c r="I407" s="3" t="s">
        <v>103</v>
      </c>
      <c r="J407" s="3">
        <v>2</v>
      </c>
      <c r="K407" s="3">
        <v>499</v>
      </c>
      <c r="L407" s="3">
        <v>0.1</v>
      </c>
      <c r="M407" s="3">
        <v>745</v>
      </c>
      <c r="N407" s="3" t="s">
        <v>27</v>
      </c>
      <c r="O407" s="15">
        <f t="shared" si="39"/>
        <v>998</v>
      </c>
      <c r="P407" s="20">
        <f t="shared" si="40"/>
        <v>99.800000000000011</v>
      </c>
      <c r="R407" s="25">
        <f t="shared" si="41"/>
        <v>1996</v>
      </c>
      <c r="S407" s="24">
        <f t="shared" si="42"/>
        <v>0</v>
      </c>
    </row>
    <row r="408" spans="1:19" ht="15.6" thickTop="1" thickBot="1" x14ac:dyDescent="0.35">
      <c r="A408" s="8" t="s">
        <v>716</v>
      </c>
      <c r="B408" s="14">
        <v>47263</v>
      </c>
      <c r="C408" s="14" t="str">
        <f t="shared" si="37"/>
        <v>2029</v>
      </c>
      <c r="D408" s="14" t="str">
        <f t="shared" si="38"/>
        <v>05</v>
      </c>
      <c r="E408" s="9" t="s">
        <v>76</v>
      </c>
      <c r="F408" s="9" t="s">
        <v>15</v>
      </c>
      <c r="G408" s="9" t="s">
        <v>16</v>
      </c>
      <c r="H408" s="9" t="s">
        <v>17</v>
      </c>
      <c r="I408" s="9" t="s">
        <v>74</v>
      </c>
      <c r="J408" s="9">
        <v>2</v>
      </c>
      <c r="K408" s="9">
        <v>240</v>
      </c>
      <c r="L408" s="9">
        <v>0.15</v>
      </c>
      <c r="M408" s="9">
        <v>359.29</v>
      </c>
      <c r="N408" s="9" t="s">
        <v>34</v>
      </c>
      <c r="O408" s="15">
        <f t="shared" si="39"/>
        <v>480</v>
      </c>
      <c r="P408" s="20">
        <f t="shared" si="40"/>
        <v>72</v>
      </c>
      <c r="R408" s="25">
        <f t="shared" si="41"/>
        <v>960</v>
      </c>
      <c r="S408" s="24">
        <f t="shared" si="42"/>
        <v>0</v>
      </c>
    </row>
    <row r="409" spans="1:19" ht="15.6" thickTop="1" thickBot="1" x14ac:dyDescent="0.35">
      <c r="A409" s="7" t="s">
        <v>717</v>
      </c>
      <c r="B409" s="14">
        <v>47264</v>
      </c>
      <c r="C409" s="14" t="str">
        <f t="shared" si="37"/>
        <v>2029</v>
      </c>
      <c r="D409" s="14" t="str">
        <f t="shared" si="38"/>
        <v>05</v>
      </c>
      <c r="E409" s="3" t="s">
        <v>43</v>
      </c>
      <c r="F409" s="3" t="s">
        <v>23</v>
      </c>
      <c r="G409" s="3" t="s">
        <v>31</v>
      </c>
      <c r="H409" s="3" t="s">
        <v>25</v>
      </c>
      <c r="I409" s="3" t="s">
        <v>26</v>
      </c>
      <c r="J409" s="3">
        <v>3</v>
      </c>
      <c r="K409" s="3">
        <v>599</v>
      </c>
      <c r="L409" s="3">
        <v>0.2</v>
      </c>
      <c r="M409" s="3">
        <v>1445.96</v>
      </c>
      <c r="N409" s="3" t="s">
        <v>67</v>
      </c>
      <c r="O409" s="15">
        <f t="shared" si="39"/>
        <v>1797</v>
      </c>
      <c r="P409" s="20">
        <f t="shared" si="40"/>
        <v>359.40000000000003</v>
      </c>
      <c r="R409" s="25">
        <f t="shared" si="41"/>
        <v>5391</v>
      </c>
      <c r="S409" s="24">
        <f t="shared" si="42"/>
        <v>0</v>
      </c>
    </row>
    <row r="410" spans="1:19" ht="15.6" thickTop="1" thickBot="1" x14ac:dyDescent="0.35">
      <c r="A410" s="8" t="s">
        <v>719</v>
      </c>
      <c r="B410" s="14">
        <v>47265</v>
      </c>
      <c r="C410" s="14" t="str">
        <f t="shared" si="37"/>
        <v>2029</v>
      </c>
      <c r="D410" s="14" t="str">
        <f t="shared" si="38"/>
        <v>05</v>
      </c>
      <c r="E410" s="9" t="s">
        <v>14</v>
      </c>
      <c r="F410" s="9" t="s">
        <v>23</v>
      </c>
      <c r="G410" s="9" t="s">
        <v>38</v>
      </c>
      <c r="H410" s="9" t="s">
        <v>39</v>
      </c>
      <c r="I410" s="9" t="s">
        <v>106</v>
      </c>
      <c r="J410" s="9">
        <v>5</v>
      </c>
      <c r="K410" s="9">
        <v>999</v>
      </c>
      <c r="L410" s="9">
        <v>0</v>
      </c>
      <c r="M410" s="9">
        <v>3506.88</v>
      </c>
      <c r="N410" s="9" t="s">
        <v>19</v>
      </c>
      <c r="O410" s="15">
        <f t="shared" si="39"/>
        <v>4995</v>
      </c>
      <c r="P410" s="20">
        <f t="shared" si="40"/>
        <v>0</v>
      </c>
      <c r="R410" s="25">
        <f t="shared" si="41"/>
        <v>24975</v>
      </c>
      <c r="S410" s="24">
        <f t="shared" si="42"/>
        <v>0</v>
      </c>
    </row>
    <row r="411" spans="1:19" ht="15.6" thickTop="1" thickBot="1" x14ac:dyDescent="0.35">
      <c r="A411" s="7" t="s">
        <v>720</v>
      </c>
      <c r="B411" s="14">
        <v>47266</v>
      </c>
      <c r="C411" s="14" t="str">
        <f t="shared" si="37"/>
        <v>2029</v>
      </c>
      <c r="D411" s="14" t="str">
        <f t="shared" si="38"/>
        <v>05</v>
      </c>
      <c r="E411" s="3" t="s">
        <v>37</v>
      </c>
      <c r="F411" s="3" t="s">
        <v>23</v>
      </c>
      <c r="G411" s="3" t="s">
        <v>31</v>
      </c>
      <c r="H411" s="3" t="s">
        <v>25</v>
      </c>
      <c r="I411" s="3" t="s">
        <v>250</v>
      </c>
      <c r="J411" s="3">
        <v>8</v>
      </c>
      <c r="K411" s="3">
        <v>299</v>
      </c>
      <c r="L411" s="3">
        <v>0.2</v>
      </c>
      <c r="M411" s="3">
        <v>1637.16</v>
      </c>
      <c r="N411" s="3" t="s">
        <v>67</v>
      </c>
      <c r="O411" s="15">
        <f t="shared" si="39"/>
        <v>2392</v>
      </c>
      <c r="P411" s="20">
        <f t="shared" si="40"/>
        <v>478.40000000000003</v>
      </c>
      <c r="R411" s="25">
        <f t="shared" si="41"/>
        <v>19136</v>
      </c>
      <c r="S411" s="24">
        <f t="shared" si="42"/>
        <v>0</v>
      </c>
    </row>
    <row r="412" spans="1:19" ht="15.6" thickTop="1" thickBot="1" x14ac:dyDescent="0.35">
      <c r="A412" s="8" t="s">
        <v>722</v>
      </c>
      <c r="B412" s="14">
        <v>47267</v>
      </c>
      <c r="C412" s="14" t="str">
        <f t="shared" si="37"/>
        <v>2029</v>
      </c>
      <c r="D412" s="14" t="str">
        <f t="shared" si="38"/>
        <v>05</v>
      </c>
      <c r="E412" s="9" t="s">
        <v>43</v>
      </c>
      <c r="F412" s="9" t="s">
        <v>15</v>
      </c>
      <c r="G412" s="9" t="s">
        <v>59</v>
      </c>
      <c r="H412" s="9" t="s">
        <v>25</v>
      </c>
      <c r="I412" s="9" t="s">
        <v>26</v>
      </c>
      <c r="J412" s="9">
        <v>7</v>
      </c>
      <c r="K412" s="9">
        <v>599</v>
      </c>
      <c r="L412" s="9">
        <v>0.15</v>
      </c>
      <c r="M412" s="9">
        <v>2351.2199999999998</v>
      </c>
      <c r="N412" s="9" t="s">
        <v>19</v>
      </c>
      <c r="O412" s="15">
        <f t="shared" si="39"/>
        <v>4193</v>
      </c>
      <c r="P412" s="20">
        <f t="shared" si="40"/>
        <v>628.94999999999993</v>
      </c>
      <c r="R412" s="25">
        <f t="shared" si="41"/>
        <v>29351</v>
      </c>
      <c r="S412" s="24">
        <f t="shared" si="42"/>
        <v>0</v>
      </c>
    </row>
    <row r="413" spans="1:19" ht="15.6" thickTop="1" thickBot="1" x14ac:dyDescent="0.35">
      <c r="A413" s="7" t="s">
        <v>724</v>
      </c>
      <c r="B413" s="14">
        <v>47268</v>
      </c>
      <c r="C413" s="14" t="str">
        <f t="shared" si="37"/>
        <v>2029</v>
      </c>
      <c r="D413" s="14" t="str">
        <f t="shared" si="38"/>
        <v>05</v>
      </c>
      <c r="E413" s="3" t="s">
        <v>14</v>
      </c>
      <c r="F413" s="3" t="s">
        <v>23</v>
      </c>
      <c r="G413" s="3" t="s">
        <v>47</v>
      </c>
      <c r="H413" s="3" t="s">
        <v>39</v>
      </c>
      <c r="I413" s="3" t="s">
        <v>66</v>
      </c>
      <c r="J413" s="3">
        <v>6</v>
      </c>
      <c r="K413" s="3">
        <v>1199</v>
      </c>
      <c r="L413" s="3">
        <v>0.1</v>
      </c>
      <c r="M413" s="3">
        <v>5737.89</v>
      </c>
      <c r="N413" s="3" t="s">
        <v>34</v>
      </c>
      <c r="O413" s="15">
        <f t="shared" si="39"/>
        <v>7194</v>
      </c>
      <c r="P413" s="20">
        <f t="shared" si="40"/>
        <v>719.40000000000009</v>
      </c>
      <c r="R413" s="25">
        <f t="shared" si="41"/>
        <v>43164</v>
      </c>
      <c r="S413" s="24">
        <f t="shared" si="42"/>
        <v>0</v>
      </c>
    </row>
    <row r="414" spans="1:19" ht="15.6" thickTop="1" thickBot="1" x14ac:dyDescent="0.35">
      <c r="A414" s="8" t="s">
        <v>726</v>
      </c>
      <c r="B414" s="14">
        <v>47269</v>
      </c>
      <c r="C414" s="14" t="str">
        <f t="shared" si="37"/>
        <v>2029</v>
      </c>
      <c r="D414" s="14" t="str">
        <f t="shared" si="38"/>
        <v>05</v>
      </c>
      <c r="E414" s="9" t="s">
        <v>43</v>
      </c>
      <c r="F414" s="9" t="s">
        <v>23</v>
      </c>
      <c r="G414" s="9" t="s">
        <v>16</v>
      </c>
      <c r="H414" s="9" t="s">
        <v>17</v>
      </c>
      <c r="I414" s="9" t="s">
        <v>86</v>
      </c>
      <c r="J414" s="9">
        <v>2</v>
      </c>
      <c r="K414" s="9">
        <v>55</v>
      </c>
      <c r="L414" s="9">
        <v>0</v>
      </c>
      <c r="M414" s="9">
        <v>85.56</v>
      </c>
      <c r="N414" s="9" t="s">
        <v>34</v>
      </c>
      <c r="O414" s="15">
        <f t="shared" si="39"/>
        <v>110</v>
      </c>
      <c r="P414" s="20">
        <f t="shared" si="40"/>
        <v>0</v>
      </c>
      <c r="R414" s="25">
        <f t="shared" si="41"/>
        <v>220</v>
      </c>
      <c r="S414" s="24">
        <f t="shared" si="42"/>
        <v>0</v>
      </c>
    </row>
    <row r="415" spans="1:19" ht="15.6" thickTop="1" thickBot="1" x14ac:dyDescent="0.35">
      <c r="A415" s="7" t="s">
        <v>728</v>
      </c>
      <c r="B415" s="14">
        <v>47270</v>
      </c>
      <c r="C415" s="14" t="str">
        <f t="shared" si="37"/>
        <v>2029</v>
      </c>
      <c r="D415" s="14" t="str">
        <f t="shared" si="38"/>
        <v>06</v>
      </c>
      <c r="E415" s="3" t="s">
        <v>43</v>
      </c>
      <c r="F415" s="3" t="s">
        <v>23</v>
      </c>
      <c r="G415" s="3" t="s">
        <v>16</v>
      </c>
      <c r="H415" s="3" t="s">
        <v>17</v>
      </c>
      <c r="I415" s="3" t="s">
        <v>74</v>
      </c>
      <c r="J415" s="3">
        <v>6</v>
      </c>
      <c r="K415" s="3">
        <v>240</v>
      </c>
      <c r="L415" s="3">
        <v>0</v>
      </c>
      <c r="M415" s="3">
        <v>811.78</v>
      </c>
      <c r="N415" s="3" t="s">
        <v>34</v>
      </c>
      <c r="O415" s="15">
        <f t="shared" si="39"/>
        <v>1440</v>
      </c>
      <c r="P415" s="20">
        <f t="shared" si="40"/>
        <v>0</v>
      </c>
      <c r="R415" s="25">
        <f t="shared" si="41"/>
        <v>8640</v>
      </c>
      <c r="S415" s="24">
        <f t="shared" si="42"/>
        <v>0</v>
      </c>
    </row>
    <row r="416" spans="1:19" ht="15.6" thickTop="1" thickBot="1" x14ac:dyDescent="0.35">
      <c r="A416" s="8" t="s">
        <v>730</v>
      </c>
      <c r="B416" s="14">
        <v>47271</v>
      </c>
      <c r="C416" s="14" t="str">
        <f t="shared" si="37"/>
        <v>2029</v>
      </c>
      <c r="D416" s="14" t="str">
        <f t="shared" si="38"/>
        <v>06</v>
      </c>
      <c r="E416" s="9" t="s">
        <v>82</v>
      </c>
      <c r="F416" s="9" t="s">
        <v>23</v>
      </c>
      <c r="G416" s="9" t="s">
        <v>24</v>
      </c>
      <c r="H416" s="9" t="s">
        <v>17</v>
      </c>
      <c r="I416" s="9" t="s">
        <v>74</v>
      </c>
      <c r="J416" s="9">
        <v>4</v>
      </c>
      <c r="K416" s="9">
        <v>240</v>
      </c>
      <c r="L416" s="9">
        <v>0.05</v>
      </c>
      <c r="M416" s="9">
        <v>562.77</v>
      </c>
      <c r="N416" s="9" t="s">
        <v>67</v>
      </c>
      <c r="O416" s="15">
        <f t="shared" si="39"/>
        <v>960</v>
      </c>
      <c r="P416" s="20">
        <f t="shared" si="40"/>
        <v>48</v>
      </c>
      <c r="R416" s="25">
        <f t="shared" si="41"/>
        <v>3840</v>
      </c>
      <c r="S416" s="24">
        <f t="shared" si="42"/>
        <v>0</v>
      </c>
    </row>
    <row r="417" spans="1:19" ht="15.6" thickTop="1" thickBot="1" x14ac:dyDescent="0.35">
      <c r="A417" s="7" t="s">
        <v>732</v>
      </c>
      <c r="B417" s="14">
        <v>47272</v>
      </c>
      <c r="C417" s="14" t="str">
        <f t="shared" si="37"/>
        <v>2029</v>
      </c>
      <c r="D417" s="14" t="str">
        <f t="shared" si="38"/>
        <v>06</v>
      </c>
      <c r="E417" s="3" t="s">
        <v>73</v>
      </c>
      <c r="F417" s="3" t="s">
        <v>15</v>
      </c>
      <c r="G417" s="3" t="s">
        <v>16</v>
      </c>
      <c r="H417" s="3" t="s">
        <v>17</v>
      </c>
      <c r="I417" s="3" t="s">
        <v>89</v>
      </c>
      <c r="J417" s="3">
        <v>7</v>
      </c>
      <c r="K417" s="3">
        <v>650</v>
      </c>
      <c r="L417" s="3">
        <v>0</v>
      </c>
      <c r="M417" s="3">
        <v>3767.35</v>
      </c>
      <c r="N417" s="3" t="s">
        <v>19</v>
      </c>
      <c r="O417" s="15">
        <f t="shared" si="39"/>
        <v>4550</v>
      </c>
      <c r="P417" s="20">
        <f t="shared" si="40"/>
        <v>0</v>
      </c>
      <c r="R417" s="25">
        <f t="shared" si="41"/>
        <v>31850</v>
      </c>
      <c r="S417" s="24">
        <f t="shared" si="42"/>
        <v>0</v>
      </c>
    </row>
    <row r="418" spans="1:19" ht="15.6" thickTop="1" thickBot="1" x14ac:dyDescent="0.35">
      <c r="A418" s="8" t="s">
        <v>734</v>
      </c>
      <c r="B418" s="14">
        <v>47273</v>
      </c>
      <c r="C418" s="14" t="str">
        <f t="shared" si="37"/>
        <v>2029</v>
      </c>
      <c r="D418" s="14" t="str">
        <f t="shared" si="38"/>
        <v>06</v>
      </c>
      <c r="E418" s="9" t="s">
        <v>73</v>
      </c>
      <c r="F418" s="9" t="s">
        <v>23</v>
      </c>
      <c r="G418" s="9" t="s">
        <v>16</v>
      </c>
      <c r="H418" s="9" t="s">
        <v>39</v>
      </c>
      <c r="I418" s="9" t="s">
        <v>66</v>
      </c>
      <c r="J418" s="9">
        <v>1</v>
      </c>
      <c r="K418" s="9">
        <v>1199</v>
      </c>
      <c r="L418" s="9">
        <v>0.2</v>
      </c>
      <c r="M418" s="9">
        <v>924.27</v>
      </c>
      <c r="N418" s="9" t="s">
        <v>19</v>
      </c>
      <c r="O418" s="15">
        <f t="shared" si="39"/>
        <v>1199</v>
      </c>
      <c r="P418" s="20">
        <f t="shared" si="40"/>
        <v>239.8</v>
      </c>
      <c r="R418" s="25">
        <f t="shared" si="41"/>
        <v>1199</v>
      </c>
      <c r="S418" s="24">
        <f t="shared" si="42"/>
        <v>0</v>
      </c>
    </row>
    <row r="419" spans="1:19" ht="15.6" thickTop="1" thickBot="1" x14ac:dyDescent="0.35">
      <c r="A419" s="7" t="s">
        <v>736</v>
      </c>
      <c r="B419" s="14">
        <v>47274</v>
      </c>
      <c r="C419" s="14" t="str">
        <f t="shared" si="37"/>
        <v>2029</v>
      </c>
      <c r="D419" s="14" t="str">
        <f t="shared" si="38"/>
        <v>06</v>
      </c>
      <c r="E419" s="3" t="s">
        <v>22</v>
      </c>
      <c r="F419" s="3" t="s">
        <v>23</v>
      </c>
      <c r="G419" s="3" t="s">
        <v>47</v>
      </c>
      <c r="H419" s="3" t="s">
        <v>39</v>
      </c>
      <c r="I419" s="3" t="s">
        <v>210</v>
      </c>
      <c r="J419" s="3">
        <v>3</v>
      </c>
      <c r="K419" s="3">
        <v>1999</v>
      </c>
      <c r="L419" s="3">
        <v>0.05</v>
      </c>
      <c r="M419" s="3">
        <v>3484.65</v>
      </c>
      <c r="N419" s="3" t="s">
        <v>19</v>
      </c>
      <c r="O419" s="15">
        <f t="shared" si="39"/>
        <v>5997</v>
      </c>
      <c r="P419" s="20">
        <f t="shared" si="40"/>
        <v>299.85000000000002</v>
      </c>
      <c r="R419" s="25">
        <f t="shared" si="41"/>
        <v>17991</v>
      </c>
      <c r="S419" s="24">
        <f t="shared" si="42"/>
        <v>0</v>
      </c>
    </row>
    <row r="420" spans="1:19" ht="15.6" thickTop="1" thickBot="1" x14ac:dyDescent="0.35">
      <c r="A420" s="8" t="s">
        <v>737</v>
      </c>
      <c r="B420" s="14">
        <v>47275</v>
      </c>
      <c r="C420" s="14" t="str">
        <f t="shared" si="37"/>
        <v>2029</v>
      </c>
      <c r="D420" s="14" t="str">
        <f t="shared" si="38"/>
        <v>06</v>
      </c>
      <c r="E420" s="9" t="s">
        <v>43</v>
      </c>
      <c r="F420" s="9" t="s">
        <v>23</v>
      </c>
      <c r="G420" s="9" t="s">
        <v>59</v>
      </c>
      <c r="H420" s="9" t="s">
        <v>39</v>
      </c>
      <c r="I420" s="9" t="s">
        <v>106</v>
      </c>
      <c r="J420" s="9">
        <v>7</v>
      </c>
      <c r="K420" s="9">
        <v>999</v>
      </c>
      <c r="L420" s="9">
        <v>0.1</v>
      </c>
      <c r="M420" s="9">
        <v>5882.14</v>
      </c>
      <c r="N420" s="9" t="s">
        <v>67</v>
      </c>
      <c r="O420" s="15">
        <f t="shared" si="39"/>
        <v>6993</v>
      </c>
      <c r="P420" s="20">
        <f t="shared" si="40"/>
        <v>699.30000000000007</v>
      </c>
      <c r="R420" s="25">
        <f t="shared" si="41"/>
        <v>48951</v>
      </c>
      <c r="S420" s="24">
        <f t="shared" si="42"/>
        <v>0</v>
      </c>
    </row>
    <row r="421" spans="1:19" ht="15.6" thickTop="1" thickBot="1" x14ac:dyDescent="0.35">
      <c r="A421" s="7" t="s">
        <v>738</v>
      </c>
      <c r="B421" s="14">
        <v>47276</v>
      </c>
      <c r="C421" s="14" t="str">
        <f t="shared" si="37"/>
        <v>2029</v>
      </c>
      <c r="D421" s="14" t="str">
        <f t="shared" si="38"/>
        <v>06</v>
      </c>
      <c r="E421" s="3" t="s">
        <v>82</v>
      </c>
      <c r="F421" s="3" t="s">
        <v>23</v>
      </c>
      <c r="G421" s="3" t="s">
        <v>47</v>
      </c>
      <c r="H421" s="3" t="s">
        <v>17</v>
      </c>
      <c r="I421" s="3" t="s">
        <v>74</v>
      </c>
      <c r="J421" s="3">
        <v>6</v>
      </c>
      <c r="K421" s="3">
        <v>240</v>
      </c>
      <c r="L421" s="3">
        <v>0.2</v>
      </c>
      <c r="M421" s="3">
        <v>1065.28</v>
      </c>
      <c r="N421" s="3" t="s">
        <v>34</v>
      </c>
      <c r="O421" s="15">
        <f t="shared" si="39"/>
        <v>1440</v>
      </c>
      <c r="P421" s="20">
        <f t="shared" si="40"/>
        <v>288</v>
      </c>
      <c r="R421" s="25">
        <f t="shared" si="41"/>
        <v>8640</v>
      </c>
      <c r="S421" s="24">
        <f t="shared" si="42"/>
        <v>0</v>
      </c>
    </row>
    <row r="422" spans="1:19" ht="15.6" thickTop="1" thickBot="1" x14ac:dyDescent="0.35">
      <c r="A422" s="8" t="s">
        <v>739</v>
      </c>
      <c r="B422" s="14">
        <v>47277</v>
      </c>
      <c r="C422" s="14" t="str">
        <f t="shared" si="37"/>
        <v>2029</v>
      </c>
      <c r="D422" s="14" t="str">
        <f t="shared" si="38"/>
        <v>06</v>
      </c>
      <c r="E422" s="9" t="s">
        <v>22</v>
      </c>
      <c r="F422" s="9" t="s">
        <v>23</v>
      </c>
      <c r="G422" s="9" t="s">
        <v>16</v>
      </c>
      <c r="H422" s="9" t="s">
        <v>17</v>
      </c>
      <c r="I422" s="9" t="s">
        <v>18</v>
      </c>
      <c r="J422" s="9">
        <v>3</v>
      </c>
      <c r="K422" s="9">
        <v>420</v>
      </c>
      <c r="L422" s="9">
        <v>0.2</v>
      </c>
      <c r="M422" s="9">
        <v>898.06</v>
      </c>
      <c r="N422" s="9" t="s">
        <v>44</v>
      </c>
      <c r="O422" s="15">
        <f t="shared" si="39"/>
        <v>1260</v>
      </c>
      <c r="P422" s="20">
        <f t="shared" si="40"/>
        <v>252</v>
      </c>
      <c r="R422" s="25">
        <f t="shared" si="41"/>
        <v>3780</v>
      </c>
      <c r="S422" s="24">
        <f t="shared" si="42"/>
        <v>0</v>
      </c>
    </row>
    <row r="423" spans="1:19" ht="15.6" thickTop="1" thickBot="1" x14ac:dyDescent="0.35">
      <c r="A423" s="7" t="s">
        <v>741</v>
      </c>
      <c r="B423" s="14">
        <v>47278</v>
      </c>
      <c r="C423" s="14" t="str">
        <f t="shared" si="37"/>
        <v>2029</v>
      </c>
      <c r="D423" s="14" t="str">
        <f t="shared" si="38"/>
        <v>06</v>
      </c>
      <c r="E423" s="3" t="s">
        <v>853</v>
      </c>
      <c r="F423" s="3" t="s">
        <v>23</v>
      </c>
      <c r="G423" s="3" t="s">
        <v>47</v>
      </c>
      <c r="H423" s="3" t="s">
        <v>32</v>
      </c>
      <c r="I423" s="3" t="s">
        <v>33</v>
      </c>
      <c r="J423" s="3">
        <v>7</v>
      </c>
      <c r="K423" s="3">
        <v>1499</v>
      </c>
      <c r="L423" s="3">
        <v>0.2</v>
      </c>
      <c r="M423" s="3">
        <v>6671.22</v>
      </c>
      <c r="N423" s="3" t="s">
        <v>67</v>
      </c>
      <c r="O423" s="15">
        <f t="shared" si="39"/>
        <v>10493</v>
      </c>
      <c r="P423" s="20">
        <f t="shared" si="40"/>
        <v>2098.6</v>
      </c>
      <c r="R423" s="25">
        <f t="shared" si="41"/>
        <v>73451</v>
      </c>
      <c r="S423" s="24">
        <f t="shared" si="42"/>
        <v>0</v>
      </c>
    </row>
    <row r="424" spans="1:19" ht="15.6" thickTop="1" thickBot="1" x14ac:dyDescent="0.35">
      <c r="A424" s="8" t="s">
        <v>743</v>
      </c>
      <c r="B424" s="14">
        <v>47279</v>
      </c>
      <c r="C424" s="14" t="str">
        <f t="shared" si="37"/>
        <v>2029</v>
      </c>
      <c r="D424" s="14" t="str">
        <f t="shared" si="38"/>
        <v>06</v>
      </c>
      <c r="E424" s="9" t="s">
        <v>76</v>
      </c>
      <c r="F424" s="9" t="s">
        <v>15</v>
      </c>
      <c r="G424" s="9" t="s">
        <v>24</v>
      </c>
      <c r="H424" s="9" t="s">
        <v>32</v>
      </c>
      <c r="I424" s="9" t="s">
        <v>60</v>
      </c>
      <c r="J424" s="9">
        <v>1</v>
      </c>
      <c r="K424" s="9">
        <v>1299</v>
      </c>
      <c r="L424" s="9">
        <v>0</v>
      </c>
      <c r="M424" s="9">
        <v>792.35</v>
      </c>
      <c r="N424" s="9" t="s">
        <v>34</v>
      </c>
      <c r="O424" s="15">
        <f t="shared" si="39"/>
        <v>1299</v>
      </c>
      <c r="P424" s="20">
        <f t="shared" si="40"/>
        <v>0</v>
      </c>
      <c r="R424" s="25">
        <f t="shared" si="41"/>
        <v>1299</v>
      </c>
      <c r="S424" s="24">
        <f t="shared" si="42"/>
        <v>0</v>
      </c>
    </row>
    <row r="425" spans="1:19" ht="15.6" thickTop="1" thickBot="1" x14ac:dyDescent="0.35">
      <c r="A425" s="7" t="s">
        <v>744</v>
      </c>
      <c r="B425" s="14">
        <v>47280</v>
      </c>
      <c r="C425" s="14" t="str">
        <f t="shared" si="37"/>
        <v>2029</v>
      </c>
      <c r="D425" s="14" t="str">
        <f t="shared" si="38"/>
        <v>06</v>
      </c>
      <c r="E425" s="3" t="s">
        <v>63</v>
      </c>
      <c r="F425" s="3" t="s">
        <v>15</v>
      </c>
      <c r="G425" s="3" t="s">
        <v>24</v>
      </c>
      <c r="H425" s="3" t="s">
        <v>17</v>
      </c>
      <c r="I425" s="3" t="s">
        <v>18</v>
      </c>
      <c r="J425" s="3">
        <v>1</v>
      </c>
      <c r="K425" s="3">
        <v>420</v>
      </c>
      <c r="L425" s="3">
        <v>0.1</v>
      </c>
      <c r="M425" s="3">
        <v>333.57</v>
      </c>
      <c r="N425" s="3" t="s">
        <v>27</v>
      </c>
      <c r="O425" s="15">
        <f t="shared" si="39"/>
        <v>420</v>
      </c>
      <c r="P425" s="20">
        <f t="shared" si="40"/>
        <v>42</v>
      </c>
      <c r="R425" s="25">
        <f t="shared" si="41"/>
        <v>420</v>
      </c>
      <c r="S425" s="24">
        <f t="shared" si="42"/>
        <v>0</v>
      </c>
    </row>
    <row r="426" spans="1:19" ht="15.6" thickTop="1" thickBot="1" x14ac:dyDescent="0.35">
      <c r="A426" s="8" t="s">
        <v>745</v>
      </c>
      <c r="B426" s="14">
        <v>47281</v>
      </c>
      <c r="C426" s="14" t="str">
        <f t="shared" si="37"/>
        <v>2029</v>
      </c>
      <c r="D426" s="14" t="str">
        <f t="shared" si="38"/>
        <v>06</v>
      </c>
      <c r="E426" s="9" t="s">
        <v>76</v>
      </c>
      <c r="F426" s="9" t="s">
        <v>15</v>
      </c>
      <c r="G426" s="9" t="s">
        <v>16</v>
      </c>
      <c r="H426" s="9" t="s">
        <v>32</v>
      </c>
      <c r="I426" s="9" t="s">
        <v>60</v>
      </c>
      <c r="J426" s="9">
        <v>5</v>
      </c>
      <c r="K426" s="9">
        <v>1299</v>
      </c>
      <c r="L426" s="9">
        <v>0</v>
      </c>
      <c r="M426" s="9">
        <v>5377.51</v>
      </c>
      <c r="N426" s="9" t="s">
        <v>67</v>
      </c>
      <c r="O426" s="15">
        <f t="shared" si="39"/>
        <v>6495</v>
      </c>
      <c r="P426" s="20">
        <f t="shared" si="40"/>
        <v>0</v>
      </c>
      <c r="R426" s="25">
        <f t="shared" si="41"/>
        <v>32475</v>
      </c>
      <c r="S426" s="24">
        <f t="shared" si="42"/>
        <v>0</v>
      </c>
    </row>
    <row r="427" spans="1:19" ht="15.6" thickTop="1" thickBot="1" x14ac:dyDescent="0.35">
      <c r="A427" s="7" t="s">
        <v>746</v>
      </c>
      <c r="B427" s="14">
        <v>47282</v>
      </c>
      <c r="C427" s="14" t="str">
        <f t="shared" si="37"/>
        <v>2029</v>
      </c>
      <c r="D427" s="14" t="str">
        <f t="shared" si="38"/>
        <v>06</v>
      </c>
      <c r="E427" s="3" t="s">
        <v>43</v>
      </c>
      <c r="F427" s="3" t="s">
        <v>15</v>
      </c>
      <c r="G427" s="3" t="s">
        <v>24</v>
      </c>
      <c r="H427" s="3" t="s">
        <v>17</v>
      </c>
      <c r="I427" s="3" t="s">
        <v>18</v>
      </c>
      <c r="J427" s="3">
        <v>8</v>
      </c>
      <c r="K427" s="3">
        <v>420</v>
      </c>
      <c r="L427" s="3">
        <v>0.05</v>
      </c>
      <c r="M427" s="3">
        <v>2766.78</v>
      </c>
      <c r="N427" s="3" t="s">
        <v>44</v>
      </c>
      <c r="O427" s="15">
        <f t="shared" si="39"/>
        <v>3360</v>
      </c>
      <c r="P427" s="20">
        <f t="shared" si="40"/>
        <v>168</v>
      </c>
      <c r="R427" s="25">
        <f t="shared" si="41"/>
        <v>26880</v>
      </c>
      <c r="S427" s="24">
        <f t="shared" si="42"/>
        <v>0</v>
      </c>
    </row>
    <row r="428" spans="1:19" ht="15.6" thickTop="1" thickBot="1" x14ac:dyDescent="0.35">
      <c r="A428" s="8" t="s">
        <v>748</v>
      </c>
      <c r="B428" s="14">
        <v>47283</v>
      </c>
      <c r="C428" s="14" t="str">
        <f t="shared" si="37"/>
        <v>2029</v>
      </c>
      <c r="D428" s="14" t="str">
        <f t="shared" si="38"/>
        <v>06</v>
      </c>
      <c r="E428" s="9" t="s">
        <v>76</v>
      </c>
      <c r="F428" s="9" t="s">
        <v>15</v>
      </c>
      <c r="G428" s="9" t="s">
        <v>16</v>
      </c>
      <c r="H428" s="9" t="s">
        <v>39</v>
      </c>
      <c r="I428" s="9" t="s">
        <v>106</v>
      </c>
      <c r="J428" s="9">
        <v>8</v>
      </c>
      <c r="K428" s="9">
        <v>999</v>
      </c>
      <c r="L428" s="9">
        <v>0.05</v>
      </c>
      <c r="M428" s="9">
        <v>6753.53</v>
      </c>
      <c r="N428" s="9" t="s">
        <v>27</v>
      </c>
      <c r="O428" s="15">
        <f t="shared" si="39"/>
        <v>7992</v>
      </c>
      <c r="P428" s="20">
        <f t="shared" si="40"/>
        <v>399.6</v>
      </c>
      <c r="R428" s="25">
        <f t="shared" si="41"/>
        <v>63936</v>
      </c>
      <c r="S428" s="24">
        <f t="shared" si="42"/>
        <v>0</v>
      </c>
    </row>
    <row r="429" spans="1:19" ht="15.6" thickTop="1" thickBot="1" x14ac:dyDescent="0.35">
      <c r="A429" s="7" t="s">
        <v>749</v>
      </c>
      <c r="B429" s="14">
        <v>47284</v>
      </c>
      <c r="C429" s="14" t="str">
        <f t="shared" si="37"/>
        <v>2029</v>
      </c>
      <c r="D429" s="14" t="str">
        <f t="shared" si="38"/>
        <v>06</v>
      </c>
      <c r="E429" s="3" t="s">
        <v>82</v>
      </c>
      <c r="F429" s="3" t="s">
        <v>15</v>
      </c>
      <c r="G429" s="3" t="s">
        <v>59</v>
      </c>
      <c r="H429" s="3" t="s">
        <v>25</v>
      </c>
      <c r="I429" s="3" t="s">
        <v>250</v>
      </c>
      <c r="J429" s="3">
        <v>5</v>
      </c>
      <c r="K429" s="3">
        <v>299</v>
      </c>
      <c r="L429" s="3">
        <v>0.2</v>
      </c>
      <c r="M429" s="3">
        <v>940.76</v>
      </c>
      <c r="N429" s="3" t="s">
        <v>34</v>
      </c>
      <c r="O429" s="15">
        <f t="shared" si="39"/>
        <v>1495</v>
      </c>
      <c r="P429" s="20">
        <f t="shared" si="40"/>
        <v>299</v>
      </c>
      <c r="R429" s="25">
        <f t="shared" si="41"/>
        <v>7475</v>
      </c>
      <c r="S429" s="24">
        <f t="shared" si="42"/>
        <v>0</v>
      </c>
    </row>
    <row r="430" spans="1:19" ht="15.6" thickTop="1" thickBot="1" x14ac:dyDescent="0.35">
      <c r="A430" s="8" t="s">
        <v>750</v>
      </c>
      <c r="B430" s="14">
        <v>47285</v>
      </c>
      <c r="C430" s="14" t="str">
        <f t="shared" si="37"/>
        <v>2029</v>
      </c>
      <c r="D430" s="14" t="str">
        <f t="shared" si="38"/>
        <v>06</v>
      </c>
      <c r="E430" s="9" t="s">
        <v>63</v>
      </c>
      <c r="F430" s="9" t="s">
        <v>15</v>
      </c>
      <c r="G430" s="9" t="s">
        <v>38</v>
      </c>
      <c r="H430" s="9" t="s">
        <v>32</v>
      </c>
      <c r="I430" s="9" t="s">
        <v>60</v>
      </c>
      <c r="J430" s="9">
        <v>1</v>
      </c>
      <c r="K430" s="9">
        <v>1299</v>
      </c>
      <c r="L430" s="9">
        <v>0.05</v>
      </c>
      <c r="M430" s="9">
        <v>1076.3399999999999</v>
      </c>
      <c r="N430" s="9" t="s">
        <v>19</v>
      </c>
      <c r="O430" s="15">
        <f t="shared" si="39"/>
        <v>1299</v>
      </c>
      <c r="P430" s="20">
        <f t="shared" si="40"/>
        <v>64.95</v>
      </c>
      <c r="R430" s="25">
        <f t="shared" si="41"/>
        <v>1299</v>
      </c>
      <c r="S430" s="24">
        <f t="shared" si="42"/>
        <v>0</v>
      </c>
    </row>
    <row r="431" spans="1:19" ht="15.6" thickTop="1" thickBot="1" x14ac:dyDescent="0.35">
      <c r="A431" s="7" t="s">
        <v>751</v>
      </c>
      <c r="B431" s="14">
        <v>47286</v>
      </c>
      <c r="C431" s="14" t="str">
        <f t="shared" si="37"/>
        <v>2029</v>
      </c>
      <c r="D431" s="14" t="str">
        <f t="shared" si="38"/>
        <v>06</v>
      </c>
      <c r="E431" s="3" t="s">
        <v>22</v>
      </c>
      <c r="F431" s="3" t="s">
        <v>23</v>
      </c>
      <c r="G431" s="3" t="s">
        <v>59</v>
      </c>
      <c r="H431" s="3" t="s">
        <v>17</v>
      </c>
      <c r="I431" s="3" t="s">
        <v>89</v>
      </c>
      <c r="J431" s="3">
        <v>6</v>
      </c>
      <c r="K431" s="3">
        <v>650</v>
      </c>
      <c r="L431" s="3">
        <v>0.2</v>
      </c>
      <c r="M431" s="3">
        <v>2402.36</v>
      </c>
      <c r="N431" s="3" t="s">
        <v>34</v>
      </c>
      <c r="O431" s="15">
        <f t="shared" si="39"/>
        <v>3900</v>
      </c>
      <c r="P431" s="20">
        <f t="shared" si="40"/>
        <v>780</v>
      </c>
      <c r="R431" s="25">
        <f t="shared" si="41"/>
        <v>23400</v>
      </c>
      <c r="S431" s="24">
        <f t="shared" si="42"/>
        <v>0</v>
      </c>
    </row>
    <row r="432" spans="1:19" ht="15.6" thickTop="1" thickBot="1" x14ac:dyDescent="0.35">
      <c r="A432" s="8" t="s">
        <v>752</v>
      </c>
      <c r="B432" s="14">
        <v>47287</v>
      </c>
      <c r="C432" s="14" t="str">
        <f t="shared" si="37"/>
        <v>2029</v>
      </c>
      <c r="D432" s="14" t="str">
        <f t="shared" si="38"/>
        <v>06</v>
      </c>
      <c r="E432" s="9" t="s">
        <v>14</v>
      </c>
      <c r="F432" s="9" t="s">
        <v>15</v>
      </c>
      <c r="G432" s="9" t="s">
        <v>59</v>
      </c>
      <c r="H432" s="9" t="s">
        <v>32</v>
      </c>
      <c r="I432" s="9" t="s">
        <v>103</v>
      </c>
      <c r="J432" s="9">
        <v>6</v>
      </c>
      <c r="K432" s="9">
        <v>499</v>
      </c>
      <c r="L432" s="9">
        <v>0.05</v>
      </c>
      <c r="M432" s="9">
        <v>2440.17</v>
      </c>
      <c r="N432" s="9" t="s">
        <v>44</v>
      </c>
      <c r="O432" s="15">
        <f t="shared" si="39"/>
        <v>2994</v>
      </c>
      <c r="P432" s="20">
        <f t="shared" si="40"/>
        <v>149.70000000000002</v>
      </c>
      <c r="R432" s="25">
        <f t="shared" si="41"/>
        <v>17964</v>
      </c>
      <c r="S432" s="24">
        <f t="shared" si="42"/>
        <v>0</v>
      </c>
    </row>
    <row r="433" spans="1:19" ht="15.6" thickTop="1" thickBot="1" x14ac:dyDescent="0.35">
      <c r="A433" s="7" t="s">
        <v>754</v>
      </c>
      <c r="B433" s="14">
        <v>47288</v>
      </c>
      <c r="C433" s="14" t="str">
        <f t="shared" si="37"/>
        <v>2029</v>
      </c>
      <c r="D433" s="14" t="str">
        <f t="shared" si="38"/>
        <v>06</v>
      </c>
      <c r="E433" s="3" t="s">
        <v>43</v>
      </c>
      <c r="F433" s="3" t="s">
        <v>23</v>
      </c>
      <c r="G433" s="3" t="s">
        <v>31</v>
      </c>
      <c r="H433" s="3" t="s">
        <v>32</v>
      </c>
      <c r="I433" s="3" t="s">
        <v>33</v>
      </c>
      <c r="J433" s="3">
        <v>1</v>
      </c>
      <c r="K433" s="3">
        <v>1499</v>
      </c>
      <c r="L433" s="3">
        <v>0</v>
      </c>
      <c r="M433" s="3">
        <v>1125.27</v>
      </c>
      <c r="N433" s="3" t="s">
        <v>67</v>
      </c>
      <c r="O433" s="15">
        <f t="shared" si="39"/>
        <v>1499</v>
      </c>
      <c r="P433" s="20">
        <f t="shared" si="40"/>
        <v>0</v>
      </c>
      <c r="R433" s="25">
        <f t="shared" si="41"/>
        <v>1499</v>
      </c>
      <c r="S433" s="24">
        <f t="shared" si="42"/>
        <v>0</v>
      </c>
    </row>
    <row r="434" spans="1:19" ht="15.6" thickTop="1" thickBot="1" x14ac:dyDescent="0.35">
      <c r="A434" s="8" t="s">
        <v>755</v>
      </c>
      <c r="B434" s="14">
        <v>47289</v>
      </c>
      <c r="C434" s="14" t="str">
        <f t="shared" si="37"/>
        <v>2029</v>
      </c>
      <c r="D434" s="14" t="str">
        <f t="shared" si="38"/>
        <v>06</v>
      </c>
      <c r="E434" s="9" t="s">
        <v>22</v>
      </c>
      <c r="F434" s="9" t="s">
        <v>15</v>
      </c>
      <c r="G434" s="9" t="s">
        <v>24</v>
      </c>
      <c r="H434" s="9" t="s">
        <v>17</v>
      </c>
      <c r="I434" s="9" t="s">
        <v>86</v>
      </c>
      <c r="J434" s="9">
        <v>2</v>
      </c>
      <c r="K434" s="9">
        <v>55</v>
      </c>
      <c r="L434" s="9">
        <v>0.15</v>
      </c>
      <c r="M434" s="9">
        <v>68.97</v>
      </c>
      <c r="N434" s="9" t="s">
        <v>44</v>
      </c>
      <c r="O434" s="15">
        <f t="shared" si="39"/>
        <v>110</v>
      </c>
      <c r="P434" s="20">
        <f t="shared" si="40"/>
        <v>16.5</v>
      </c>
      <c r="R434" s="25">
        <f t="shared" si="41"/>
        <v>220</v>
      </c>
      <c r="S434" s="24">
        <f t="shared" si="42"/>
        <v>0</v>
      </c>
    </row>
    <row r="435" spans="1:19" ht="15.6" thickTop="1" thickBot="1" x14ac:dyDescent="0.35">
      <c r="A435" s="7" t="s">
        <v>757</v>
      </c>
      <c r="B435" s="14">
        <v>47290</v>
      </c>
      <c r="C435" s="14" t="str">
        <f t="shared" si="37"/>
        <v>2029</v>
      </c>
      <c r="D435" s="14" t="str">
        <f t="shared" si="38"/>
        <v>06</v>
      </c>
      <c r="E435" s="3" t="s">
        <v>76</v>
      </c>
      <c r="F435" s="3" t="s">
        <v>23</v>
      </c>
      <c r="G435" s="3" t="s">
        <v>47</v>
      </c>
      <c r="H435" s="3" t="s">
        <v>32</v>
      </c>
      <c r="I435" s="3" t="s">
        <v>97</v>
      </c>
      <c r="J435" s="3">
        <v>1</v>
      </c>
      <c r="K435" s="3">
        <v>899</v>
      </c>
      <c r="L435" s="3">
        <v>0.1</v>
      </c>
      <c r="M435" s="3">
        <v>736.72</v>
      </c>
      <c r="N435" s="3" t="s">
        <v>34</v>
      </c>
      <c r="O435" s="15">
        <f t="shared" si="39"/>
        <v>899</v>
      </c>
      <c r="P435" s="20">
        <f t="shared" si="40"/>
        <v>89.9</v>
      </c>
      <c r="R435" s="25">
        <f t="shared" si="41"/>
        <v>899</v>
      </c>
      <c r="S435" s="24">
        <f t="shared" si="42"/>
        <v>0</v>
      </c>
    </row>
    <row r="436" spans="1:19" ht="15.6" thickTop="1" thickBot="1" x14ac:dyDescent="0.35">
      <c r="A436" s="8" t="s">
        <v>759</v>
      </c>
      <c r="B436" s="14">
        <v>47291</v>
      </c>
      <c r="C436" s="14" t="str">
        <f t="shared" si="37"/>
        <v>2029</v>
      </c>
      <c r="D436" s="14" t="str">
        <f t="shared" si="38"/>
        <v>06</v>
      </c>
      <c r="E436" s="9" t="s">
        <v>76</v>
      </c>
      <c r="F436" s="9" t="s">
        <v>15</v>
      </c>
      <c r="G436" s="9" t="s">
        <v>24</v>
      </c>
      <c r="H436" s="9" t="s">
        <v>39</v>
      </c>
      <c r="I436" s="9" t="s">
        <v>210</v>
      </c>
      <c r="J436" s="9">
        <v>1</v>
      </c>
      <c r="K436" s="9">
        <v>1999</v>
      </c>
      <c r="L436" s="9">
        <v>0</v>
      </c>
      <c r="M436" s="9">
        <v>1225.8599999999999</v>
      </c>
      <c r="N436" s="9" t="s">
        <v>34</v>
      </c>
      <c r="O436" s="15">
        <f t="shared" si="39"/>
        <v>1999</v>
      </c>
      <c r="P436" s="20">
        <f t="shared" si="40"/>
        <v>0</v>
      </c>
      <c r="R436" s="25">
        <f t="shared" si="41"/>
        <v>1999</v>
      </c>
      <c r="S436" s="24">
        <f t="shared" si="42"/>
        <v>0</v>
      </c>
    </row>
    <row r="437" spans="1:19" ht="15.6" thickTop="1" thickBot="1" x14ac:dyDescent="0.35">
      <c r="A437" s="7" t="s">
        <v>760</v>
      </c>
      <c r="B437" s="14">
        <v>47292</v>
      </c>
      <c r="C437" s="14" t="str">
        <f t="shared" si="37"/>
        <v>2029</v>
      </c>
      <c r="D437" s="14" t="str">
        <f t="shared" si="38"/>
        <v>06</v>
      </c>
      <c r="E437" s="3" t="s">
        <v>37</v>
      </c>
      <c r="F437" s="3" t="s">
        <v>15</v>
      </c>
      <c r="G437" s="3" t="s">
        <v>31</v>
      </c>
      <c r="H437" s="3" t="s">
        <v>32</v>
      </c>
      <c r="I437" s="3" t="s">
        <v>103</v>
      </c>
      <c r="J437" s="3">
        <v>3</v>
      </c>
      <c r="K437" s="3">
        <v>499</v>
      </c>
      <c r="L437" s="3">
        <v>0</v>
      </c>
      <c r="M437" s="3">
        <v>1029.5899999999999</v>
      </c>
      <c r="N437" s="3" t="s">
        <v>44</v>
      </c>
      <c r="O437" s="15">
        <f t="shared" si="39"/>
        <v>1497</v>
      </c>
      <c r="P437" s="20">
        <f t="shared" si="40"/>
        <v>0</v>
      </c>
      <c r="R437" s="25">
        <f t="shared" si="41"/>
        <v>4491</v>
      </c>
      <c r="S437" s="24">
        <f t="shared" si="42"/>
        <v>0</v>
      </c>
    </row>
    <row r="438" spans="1:19" ht="15.6" thickTop="1" thickBot="1" x14ac:dyDescent="0.35">
      <c r="A438" s="8" t="s">
        <v>761</v>
      </c>
      <c r="B438" s="14">
        <v>47293</v>
      </c>
      <c r="C438" s="14" t="str">
        <f t="shared" si="37"/>
        <v>2029</v>
      </c>
      <c r="D438" s="14" t="str">
        <f t="shared" si="38"/>
        <v>06</v>
      </c>
      <c r="E438" s="9" t="s">
        <v>14</v>
      </c>
      <c r="F438" s="9" t="s">
        <v>15</v>
      </c>
      <c r="G438" s="9" t="s">
        <v>24</v>
      </c>
      <c r="H438" s="9" t="s">
        <v>39</v>
      </c>
      <c r="I438" s="9" t="s">
        <v>106</v>
      </c>
      <c r="J438" s="9">
        <v>2</v>
      </c>
      <c r="K438" s="9">
        <v>999</v>
      </c>
      <c r="L438" s="9">
        <v>0.2</v>
      </c>
      <c r="M438" s="9">
        <v>1591.38</v>
      </c>
      <c r="N438" s="9" t="s">
        <v>44</v>
      </c>
      <c r="O438" s="15">
        <f t="shared" si="39"/>
        <v>1998</v>
      </c>
      <c r="P438" s="20">
        <f t="shared" si="40"/>
        <v>399.6</v>
      </c>
      <c r="R438" s="25">
        <f t="shared" si="41"/>
        <v>3996</v>
      </c>
      <c r="S438" s="24">
        <f t="shared" si="42"/>
        <v>0</v>
      </c>
    </row>
    <row r="439" spans="1:19" ht="15.6" thickTop="1" thickBot="1" x14ac:dyDescent="0.35">
      <c r="A439" s="7" t="s">
        <v>762</v>
      </c>
      <c r="B439" s="14">
        <v>47294</v>
      </c>
      <c r="C439" s="14" t="str">
        <f t="shared" si="37"/>
        <v>2029</v>
      </c>
      <c r="D439" s="14" t="str">
        <f t="shared" si="38"/>
        <v>06</v>
      </c>
      <c r="E439" s="3" t="s">
        <v>37</v>
      </c>
      <c r="F439" s="3" t="s">
        <v>23</v>
      </c>
      <c r="G439" s="3" t="s">
        <v>16</v>
      </c>
      <c r="H439" s="3" t="s">
        <v>32</v>
      </c>
      <c r="I439" s="3" t="s">
        <v>97</v>
      </c>
      <c r="J439" s="3">
        <v>6</v>
      </c>
      <c r="K439" s="3">
        <v>899</v>
      </c>
      <c r="L439" s="3">
        <v>0</v>
      </c>
      <c r="M439" s="3">
        <v>3596.99</v>
      </c>
      <c r="N439" s="3" t="s">
        <v>27</v>
      </c>
      <c r="O439" s="15">
        <f t="shared" si="39"/>
        <v>5394</v>
      </c>
      <c r="P439" s="20">
        <f t="shared" si="40"/>
        <v>0</v>
      </c>
      <c r="R439" s="25">
        <f t="shared" si="41"/>
        <v>32364</v>
      </c>
      <c r="S439" s="24">
        <f t="shared" si="42"/>
        <v>0</v>
      </c>
    </row>
    <row r="440" spans="1:19" ht="15.6" thickTop="1" thickBot="1" x14ac:dyDescent="0.35">
      <c r="A440" s="8" t="s">
        <v>763</v>
      </c>
      <c r="B440" s="14">
        <v>47295</v>
      </c>
      <c r="C440" s="14" t="str">
        <f t="shared" si="37"/>
        <v>2029</v>
      </c>
      <c r="D440" s="14" t="str">
        <f t="shared" si="38"/>
        <v>06</v>
      </c>
      <c r="E440" s="9" t="s">
        <v>92</v>
      </c>
      <c r="F440" s="9" t="s">
        <v>15</v>
      </c>
      <c r="G440" s="9" t="s">
        <v>16</v>
      </c>
      <c r="H440" s="9" t="s">
        <v>25</v>
      </c>
      <c r="I440" s="9" t="s">
        <v>26</v>
      </c>
      <c r="J440" s="9">
        <v>6</v>
      </c>
      <c r="K440" s="9">
        <v>599</v>
      </c>
      <c r="L440" s="9">
        <v>0.2</v>
      </c>
      <c r="M440" s="9">
        <v>2091.14</v>
      </c>
      <c r="N440" s="9" t="s">
        <v>44</v>
      </c>
      <c r="O440" s="15">
        <f t="shared" si="39"/>
        <v>3594</v>
      </c>
      <c r="P440" s="20">
        <f t="shared" si="40"/>
        <v>718.80000000000007</v>
      </c>
      <c r="R440" s="25">
        <f t="shared" si="41"/>
        <v>21564</v>
      </c>
      <c r="S440" s="24">
        <f t="shared" si="42"/>
        <v>0</v>
      </c>
    </row>
    <row r="441" spans="1:19" ht="15.6" thickTop="1" thickBot="1" x14ac:dyDescent="0.35">
      <c r="A441" s="7" t="s">
        <v>764</v>
      </c>
      <c r="B441" s="14">
        <v>47296</v>
      </c>
      <c r="C441" s="14" t="str">
        <f t="shared" si="37"/>
        <v>2029</v>
      </c>
      <c r="D441" s="14" t="str">
        <f t="shared" si="38"/>
        <v>06</v>
      </c>
      <c r="E441" s="3" t="s">
        <v>14</v>
      </c>
      <c r="F441" s="3" t="s">
        <v>23</v>
      </c>
      <c r="G441" s="3" t="s">
        <v>59</v>
      </c>
      <c r="H441" s="3" t="s">
        <v>32</v>
      </c>
      <c r="I441" s="3" t="s">
        <v>97</v>
      </c>
      <c r="J441" s="3">
        <v>1</v>
      </c>
      <c r="K441" s="3">
        <v>899</v>
      </c>
      <c r="L441" s="3">
        <v>0.15</v>
      </c>
      <c r="M441" s="3">
        <v>536.61</v>
      </c>
      <c r="N441" s="3" t="s">
        <v>34</v>
      </c>
      <c r="O441" s="15">
        <f t="shared" si="39"/>
        <v>899</v>
      </c>
      <c r="P441" s="20">
        <f t="shared" si="40"/>
        <v>134.85</v>
      </c>
      <c r="R441" s="25">
        <f t="shared" si="41"/>
        <v>899</v>
      </c>
      <c r="S441" s="24">
        <f t="shared" si="42"/>
        <v>0</v>
      </c>
    </row>
    <row r="442" spans="1:19" ht="15.6" thickTop="1" thickBot="1" x14ac:dyDescent="0.35">
      <c r="A442" s="8" t="s">
        <v>765</v>
      </c>
      <c r="B442" s="14">
        <v>47297</v>
      </c>
      <c r="C442" s="14" t="str">
        <f t="shared" si="37"/>
        <v>2029</v>
      </c>
      <c r="D442" s="14" t="str">
        <f t="shared" si="38"/>
        <v>06</v>
      </c>
      <c r="E442" s="9" t="s">
        <v>37</v>
      </c>
      <c r="F442" s="9" t="s">
        <v>23</v>
      </c>
      <c r="G442" s="9" t="s">
        <v>16</v>
      </c>
      <c r="H442" s="9" t="s">
        <v>39</v>
      </c>
      <c r="I442" s="9" t="s">
        <v>106</v>
      </c>
      <c r="J442" s="9">
        <v>6</v>
      </c>
      <c r="K442" s="9">
        <v>999</v>
      </c>
      <c r="L442" s="9">
        <v>0</v>
      </c>
      <c r="M442" s="9">
        <v>4292.05</v>
      </c>
      <c r="N442" s="9" t="s">
        <v>19</v>
      </c>
      <c r="O442" s="15">
        <f t="shared" si="39"/>
        <v>5994</v>
      </c>
      <c r="P442" s="20">
        <f t="shared" si="40"/>
        <v>0</v>
      </c>
      <c r="R442" s="25">
        <f t="shared" si="41"/>
        <v>35964</v>
      </c>
      <c r="S442" s="24">
        <f t="shared" si="42"/>
        <v>0</v>
      </c>
    </row>
    <row r="443" spans="1:19" ht="15.6" thickTop="1" thickBot="1" x14ac:dyDescent="0.35">
      <c r="A443" s="7" t="s">
        <v>767</v>
      </c>
      <c r="B443" s="14">
        <v>47298</v>
      </c>
      <c r="C443" s="14" t="str">
        <f t="shared" si="37"/>
        <v>2029</v>
      </c>
      <c r="D443" s="14" t="str">
        <f t="shared" si="38"/>
        <v>06</v>
      </c>
      <c r="E443" s="3" t="s">
        <v>14</v>
      </c>
      <c r="F443" s="3" t="s">
        <v>15</v>
      </c>
      <c r="G443" s="3" t="s">
        <v>24</v>
      </c>
      <c r="H443" s="3" t="s">
        <v>32</v>
      </c>
      <c r="I443" s="3" t="s">
        <v>33</v>
      </c>
      <c r="J443" s="3">
        <v>2</v>
      </c>
      <c r="K443" s="3">
        <v>1499</v>
      </c>
      <c r="L443" s="3">
        <v>0.1</v>
      </c>
      <c r="M443" s="3">
        <v>1837.82</v>
      </c>
      <c r="N443" s="3" t="s">
        <v>44</v>
      </c>
      <c r="O443" s="15">
        <f t="shared" si="39"/>
        <v>2998</v>
      </c>
      <c r="P443" s="20">
        <f t="shared" si="40"/>
        <v>299.8</v>
      </c>
      <c r="R443" s="25">
        <f t="shared" si="41"/>
        <v>5996</v>
      </c>
      <c r="S443" s="24">
        <f t="shared" si="42"/>
        <v>0</v>
      </c>
    </row>
    <row r="444" spans="1:19" ht="15.6" thickTop="1" thickBot="1" x14ac:dyDescent="0.35">
      <c r="A444" s="8" t="s">
        <v>768</v>
      </c>
      <c r="B444" s="14">
        <v>47299</v>
      </c>
      <c r="C444" s="14" t="str">
        <f t="shared" si="37"/>
        <v>2029</v>
      </c>
      <c r="D444" s="14" t="str">
        <f t="shared" si="38"/>
        <v>06</v>
      </c>
      <c r="E444" s="9" t="s">
        <v>37</v>
      </c>
      <c r="F444" s="9" t="s">
        <v>15</v>
      </c>
      <c r="G444" s="9" t="s">
        <v>31</v>
      </c>
      <c r="H444" s="9" t="s">
        <v>39</v>
      </c>
      <c r="I444" s="9" t="s">
        <v>40</v>
      </c>
      <c r="J444" s="9">
        <v>5</v>
      </c>
      <c r="K444" s="9">
        <v>1599</v>
      </c>
      <c r="L444" s="9">
        <v>0.05</v>
      </c>
      <c r="M444" s="9">
        <v>4672.17</v>
      </c>
      <c r="N444" s="9" t="s">
        <v>19</v>
      </c>
      <c r="O444" s="15">
        <f t="shared" si="39"/>
        <v>7995</v>
      </c>
      <c r="P444" s="20">
        <f t="shared" si="40"/>
        <v>399.75</v>
      </c>
      <c r="R444" s="25">
        <f t="shared" si="41"/>
        <v>39975</v>
      </c>
      <c r="S444" s="24">
        <f t="shared" si="42"/>
        <v>0</v>
      </c>
    </row>
    <row r="445" spans="1:19" ht="15.6" thickTop="1" thickBot="1" x14ac:dyDescent="0.35">
      <c r="A445" s="7" t="s">
        <v>770</v>
      </c>
      <c r="B445" s="14">
        <v>47300</v>
      </c>
      <c r="C445" s="14" t="str">
        <f t="shared" si="37"/>
        <v>2029</v>
      </c>
      <c r="D445" s="14" t="str">
        <f t="shared" si="38"/>
        <v>07</v>
      </c>
      <c r="E445" s="3" t="s">
        <v>76</v>
      </c>
      <c r="F445" s="3" t="s">
        <v>23</v>
      </c>
      <c r="G445" s="3" t="s">
        <v>16</v>
      </c>
      <c r="H445" s="3" t="s">
        <v>25</v>
      </c>
      <c r="I445" s="3" t="s">
        <v>56</v>
      </c>
      <c r="J445" s="3">
        <v>2</v>
      </c>
      <c r="K445" s="3">
        <v>1499</v>
      </c>
      <c r="L445" s="3">
        <v>0.1</v>
      </c>
      <c r="M445" s="3">
        <v>1737.22</v>
      </c>
      <c r="N445" s="3" t="s">
        <v>19</v>
      </c>
      <c r="O445" s="15">
        <f t="shared" si="39"/>
        <v>2998</v>
      </c>
      <c r="P445" s="20">
        <f t="shared" si="40"/>
        <v>299.8</v>
      </c>
      <c r="R445" s="25">
        <f t="shared" si="41"/>
        <v>5996</v>
      </c>
      <c r="S445" s="24">
        <f t="shared" si="42"/>
        <v>0</v>
      </c>
    </row>
    <row r="446" spans="1:19" ht="15.6" thickTop="1" thickBot="1" x14ac:dyDescent="0.35">
      <c r="A446" s="8" t="s">
        <v>771</v>
      </c>
      <c r="B446" s="14">
        <v>47301</v>
      </c>
      <c r="C446" s="14" t="str">
        <f t="shared" si="37"/>
        <v>2029</v>
      </c>
      <c r="D446" s="14" t="str">
        <f t="shared" si="38"/>
        <v>07</v>
      </c>
      <c r="E446" s="9" t="s">
        <v>43</v>
      </c>
      <c r="F446" s="9" t="s">
        <v>23</v>
      </c>
      <c r="G446" s="9" t="s">
        <v>31</v>
      </c>
      <c r="H446" s="9" t="s">
        <v>39</v>
      </c>
      <c r="I446" s="9" t="s">
        <v>48</v>
      </c>
      <c r="J446" s="9">
        <v>5</v>
      </c>
      <c r="K446" s="9">
        <v>799</v>
      </c>
      <c r="L446" s="9">
        <v>0.2</v>
      </c>
      <c r="M446" s="9">
        <v>2280.92</v>
      </c>
      <c r="N446" s="9" t="s">
        <v>34</v>
      </c>
      <c r="O446" s="15">
        <f t="shared" si="39"/>
        <v>3995</v>
      </c>
      <c r="P446" s="20">
        <f t="shared" si="40"/>
        <v>799</v>
      </c>
      <c r="R446" s="25">
        <f t="shared" si="41"/>
        <v>19975</v>
      </c>
      <c r="S446" s="24">
        <f t="shared" si="42"/>
        <v>0</v>
      </c>
    </row>
    <row r="447" spans="1:19" ht="15.6" thickTop="1" thickBot="1" x14ac:dyDescent="0.35">
      <c r="A447" s="7" t="s">
        <v>772</v>
      </c>
      <c r="B447" s="14">
        <v>47302</v>
      </c>
      <c r="C447" s="14" t="str">
        <f t="shared" si="37"/>
        <v>2029</v>
      </c>
      <c r="D447" s="14" t="str">
        <f t="shared" si="38"/>
        <v>07</v>
      </c>
      <c r="E447" s="3" t="s">
        <v>73</v>
      </c>
      <c r="F447" s="3" t="s">
        <v>23</v>
      </c>
      <c r="G447" s="3" t="s">
        <v>38</v>
      </c>
      <c r="H447" s="3" t="s">
        <v>17</v>
      </c>
      <c r="I447" s="3" t="s">
        <v>74</v>
      </c>
      <c r="J447" s="3">
        <v>3</v>
      </c>
      <c r="K447" s="3">
        <v>240</v>
      </c>
      <c r="L447" s="3">
        <v>0.2</v>
      </c>
      <c r="M447" s="3">
        <v>518.44000000000005</v>
      </c>
      <c r="N447" s="3" t="s">
        <v>44</v>
      </c>
      <c r="O447" s="15">
        <f t="shared" si="39"/>
        <v>720</v>
      </c>
      <c r="P447" s="20">
        <f t="shared" si="40"/>
        <v>144</v>
      </c>
      <c r="R447" s="25">
        <f t="shared" si="41"/>
        <v>2160</v>
      </c>
      <c r="S447" s="24">
        <f t="shared" si="42"/>
        <v>0</v>
      </c>
    </row>
    <row r="448" spans="1:19" ht="15.6" thickTop="1" thickBot="1" x14ac:dyDescent="0.35">
      <c r="A448" s="8" t="s">
        <v>774</v>
      </c>
      <c r="B448" s="14">
        <v>47303</v>
      </c>
      <c r="C448" s="14" t="str">
        <f t="shared" si="37"/>
        <v>2029</v>
      </c>
      <c r="D448" s="14" t="str">
        <f t="shared" si="38"/>
        <v>07</v>
      </c>
      <c r="E448" s="9" t="s">
        <v>82</v>
      </c>
      <c r="F448" s="9" t="s">
        <v>15</v>
      </c>
      <c r="G448" s="9" t="s">
        <v>38</v>
      </c>
      <c r="H448" s="9" t="s">
        <v>39</v>
      </c>
      <c r="I448" s="9" t="s">
        <v>40</v>
      </c>
      <c r="J448" s="9">
        <v>7</v>
      </c>
      <c r="K448" s="9">
        <v>1599</v>
      </c>
      <c r="L448" s="9">
        <v>0.1</v>
      </c>
      <c r="M448" s="9">
        <v>8977.16</v>
      </c>
      <c r="N448" s="9" t="s">
        <v>34</v>
      </c>
      <c r="O448" s="15">
        <f t="shared" si="39"/>
        <v>11193</v>
      </c>
      <c r="P448" s="20">
        <f t="shared" si="40"/>
        <v>1119.3</v>
      </c>
      <c r="R448" s="25">
        <f t="shared" si="41"/>
        <v>78351</v>
      </c>
      <c r="S448" s="24">
        <f t="shared" si="42"/>
        <v>0</v>
      </c>
    </row>
    <row r="449" spans="1:19" ht="15.6" thickTop="1" thickBot="1" x14ac:dyDescent="0.35">
      <c r="A449" s="7" t="s">
        <v>776</v>
      </c>
      <c r="B449" s="14">
        <v>47304</v>
      </c>
      <c r="C449" s="14" t="str">
        <f t="shared" si="37"/>
        <v>2029</v>
      </c>
      <c r="D449" s="14" t="str">
        <f t="shared" si="38"/>
        <v>07</v>
      </c>
      <c r="E449" s="3" t="s">
        <v>43</v>
      </c>
      <c r="F449" s="3" t="s">
        <v>23</v>
      </c>
      <c r="G449" s="3" t="s">
        <v>59</v>
      </c>
      <c r="H449" s="3" t="s">
        <v>32</v>
      </c>
      <c r="I449" s="3" t="s">
        <v>51</v>
      </c>
      <c r="J449" s="3">
        <v>5</v>
      </c>
      <c r="K449" s="3">
        <v>699</v>
      </c>
      <c r="L449" s="3">
        <v>0.15</v>
      </c>
      <c r="M449" s="3">
        <v>2500.6799999999998</v>
      </c>
      <c r="N449" s="3" t="s">
        <v>34</v>
      </c>
      <c r="O449" s="15">
        <f t="shared" si="39"/>
        <v>3495</v>
      </c>
      <c r="P449" s="20">
        <f t="shared" si="40"/>
        <v>524.25</v>
      </c>
      <c r="R449" s="25">
        <f t="shared" si="41"/>
        <v>17475</v>
      </c>
      <c r="S449" s="24">
        <f t="shared" si="42"/>
        <v>0</v>
      </c>
    </row>
    <row r="450" spans="1:19" ht="15.6" thickTop="1" thickBot="1" x14ac:dyDescent="0.35">
      <c r="A450" s="8" t="s">
        <v>777</v>
      </c>
      <c r="B450" s="14">
        <v>47305</v>
      </c>
      <c r="C450" s="14" t="str">
        <f t="shared" si="37"/>
        <v>2029</v>
      </c>
      <c r="D450" s="14" t="str">
        <f t="shared" si="38"/>
        <v>07</v>
      </c>
      <c r="E450" s="9" t="s">
        <v>22</v>
      </c>
      <c r="F450" s="9" t="s">
        <v>15</v>
      </c>
      <c r="G450" s="9" t="s">
        <v>38</v>
      </c>
      <c r="H450" s="9" t="s">
        <v>39</v>
      </c>
      <c r="I450" s="9" t="s">
        <v>210</v>
      </c>
      <c r="J450" s="9">
        <v>4</v>
      </c>
      <c r="K450" s="9">
        <v>1999</v>
      </c>
      <c r="L450" s="9">
        <v>0.1</v>
      </c>
      <c r="M450" s="9">
        <v>6157.43</v>
      </c>
      <c r="N450" s="9" t="s">
        <v>27</v>
      </c>
      <c r="O450" s="15">
        <f t="shared" si="39"/>
        <v>7996</v>
      </c>
      <c r="P450" s="20">
        <f t="shared" si="40"/>
        <v>799.6</v>
      </c>
      <c r="R450" s="25">
        <f t="shared" si="41"/>
        <v>31984</v>
      </c>
      <c r="S450" s="24">
        <f t="shared" si="42"/>
        <v>0</v>
      </c>
    </row>
    <row r="451" spans="1:19" ht="15.6" thickTop="1" thickBot="1" x14ac:dyDescent="0.35">
      <c r="A451" s="7" t="s">
        <v>779</v>
      </c>
      <c r="B451" s="14">
        <v>47306</v>
      </c>
      <c r="C451" s="14" t="str">
        <f t="shared" ref="C451:C502" si="43">TEXT(B451,"YYYY")</f>
        <v>2029</v>
      </c>
      <c r="D451" s="14" t="str">
        <f t="shared" ref="D451:D502" si="44">TEXT(B451,"MM")</f>
        <v>07</v>
      </c>
      <c r="E451" s="3" t="s">
        <v>92</v>
      </c>
      <c r="F451" s="3" t="s">
        <v>15</v>
      </c>
      <c r="G451" s="3" t="s">
        <v>47</v>
      </c>
      <c r="H451" s="3" t="s">
        <v>32</v>
      </c>
      <c r="I451" s="3" t="s">
        <v>33</v>
      </c>
      <c r="J451" s="3">
        <v>4</v>
      </c>
      <c r="K451" s="3">
        <v>1499</v>
      </c>
      <c r="L451" s="3">
        <v>0</v>
      </c>
      <c r="M451" s="3">
        <v>4290.01</v>
      </c>
      <c r="N451" s="3" t="s">
        <v>19</v>
      </c>
      <c r="O451" s="15">
        <f t="shared" ref="O451:O502" si="45">J451*K451</f>
        <v>5996</v>
      </c>
      <c r="P451" s="20">
        <f t="shared" ref="P451:P499" si="46">O451*L451</f>
        <v>0</v>
      </c>
      <c r="R451" s="25">
        <f t="shared" ref="R451:R502" si="47">J451*(O451)</f>
        <v>23984</v>
      </c>
      <c r="S451" s="24">
        <f t="shared" ref="S451:S502" si="48">IFERROR(R451 / Q451,0)</f>
        <v>0</v>
      </c>
    </row>
    <row r="452" spans="1:19" ht="15.6" thickTop="1" thickBot="1" x14ac:dyDescent="0.35">
      <c r="A452" s="8" t="s">
        <v>780</v>
      </c>
      <c r="B452" s="14">
        <v>47307</v>
      </c>
      <c r="C452" s="14" t="str">
        <f t="shared" si="43"/>
        <v>2029</v>
      </c>
      <c r="D452" s="14" t="str">
        <f t="shared" si="44"/>
        <v>07</v>
      </c>
      <c r="E452" s="9" t="s">
        <v>73</v>
      </c>
      <c r="F452" s="9" t="s">
        <v>15</v>
      </c>
      <c r="G452" s="9" t="s">
        <v>38</v>
      </c>
      <c r="H452" s="9" t="s">
        <v>32</v>
      </c>
      <c r="I452" s="9" t="s">
        <v>60</v>
      </c>
      <c r="J452" s="9">
        <v>5</v>
      </c>
      <c r="K452" s="9">
        <v>1299</v>
      </c>
      <c r="L452" s="9">
        <v>0.05</v>
      </c>
      <c r="M452" s="9">
        <v>4477.72</v>
      </c>
      <c r="N452" s="9" t="s">
        <v>19</v>
      </c>
      <c r="O452" s="15">
        <f t="shared" si="45"/>
        <v>6495</v>
      </c>
      <c r="P452" s="20">
        <f t="shared" si="46"/>
        <v>324.75</v>
      </c>
      <c r="R452" s="25">
        <f t="shared" si="47"/>
        <v>32475</v>
      </c>
      <c r="S452" s="24">
        <f t="shared" si="48"/>
        <v>0</v>
      </c>
    </row>
    <row r="453" spans="1:19" ht="15.6" thickTop="1" thickBot="1" x14ac:dyDescent="0.35">
      <c r="A453" s="7" t="s">
        <v>782</v>
      </c>
      <c r="B453" s="14">
        <v>47308</v>
      </c>
      <c r="C453" s="14" t="str">
        <f t="shared" si="43"/>
        <v>2029</v>
      </c>
      <c r="D453" s="14" t="str">
        <f t="shared" si="44"/>
        <v>07</v>
      </c>
      <c r="E453" s="3" t="s">
        <v>37</v>
      </c>
      <c r="F453" s="3" t="s">
        <v>23</v>
      </c>
      <c r="G453" s="3" t="s">
        <v>47</v>
      </c>
      <c r="H453" s="3" t="s">
        <v>25</v>
      </c>
      <c r="I453" s="3" t="s">
        <v>79</v>
      </c>
      <c r="J453" s="3">
        <v>3</v>
      </c>
      <c r="K453" s="3">
        <v>899</v>
      </c>
      <c r="L453" s="3">
        <v>0.2</v>
      </c>
      <c r="M453" s="3">
        <v>1596.92</v>
      </c>
      <c r="N453" s="3" t="s">
        <v>34</v>
      </c>
      <c r="O453" s="15">
        <f t="shared" si="45"/>
        <v>2697</v>
      </c>
      <c r="P453" s="20">
        <f t="shared" si="46"/>
        <v>539.4</v>
      </c>
      <c r="R453" s="25">
        <f t="shared" si="47"/>
        <v>8091</v>
      </c>
      <c r="S453" s="24">
        <f t="shared" si="48"/>
        <v>0</v>
      </c>
    </row>
    <row r="454" spans="1:19" ht="15.6" thickTop="1" thickBot="1" x14ac:dyDescent="0.35">
      <c r="A454" s="8" t="s">
        <v>783</v>
      </c>
      <c r="B454" s="14">
        <v>47309</v>
      </c>
      <c r="C454" s="14" t="str">
        <f t="shared" si="43"/>
        <v>2029</v>
      </c>
      <c r="D454" s="14" t="str">
        <f t="shared" si="44"/>
        <v>07</v>
      </c>
      <c r="E454" s="9" t="s">
        <v>22</v>
      </c>
      <c r="F454" s="9" t="s">
        <v>15</v>
      </c>
      <c r="G454" s="9" t="s">
        <v>16</v>
      </c>
      <c r="H454" s="9" t="s">
        <v>32</v>
      </c>
      <c r="I454" s="9" t="s">
        <v>51</v>
      </c>
      <c r="J454" s="9">
        <v>1</v>
      </c>
      <c r="K454" s="9">
        <v>699</v>
      </c>
      <c r="L454" s="9">
        <v>0.05</v>
      </c>
      <c r="M454" s="9">
        <v>544.13</v>
      </c>
      <c r="N454" s="9" t="s">
        <v>34</v>
      </c>
      <c r="O454" s="15">
        <f t="shared" si="45"/>
        <v>699</v>
      </c>
      <c r="P454" s="20">
        <f t="shared" si="46"/>
        <v>34.950000000000003</v>
      </c>
      <c r="R454" s="25">
        <f t="shared" si="47"/>
        <v>699</v>
      </c>
      <c r="S454" s="24">
        <f t="shared" si="48"/>
        <v>0</v>
      </c>
    </row>
    <row r="455" spans="1:19" ht="15.6" thickTop="1" thickBot="1" x14ac:dyDescent="0.35">
      <c r="A455" s="7" t="s">
        <v>784</v>
      </c>
      <c r="B455" s="14">
        <v>47310</v>
      </c>
      <c r="C455" s="14" t="str">
        <f t="shared" si="43"/>
        <v>2029</v>
      </c>
      <c r="D455" s="14" t="str">
        <f t="shared" si="44"/>
        <v>07</v>
      </c>
      <c r="E455" s="3" t="s">
        <v>63</v>
      </c>
      <c r="F455" s="3" t="s">
        <v>23</v>
      </c>
      <c r="G455" s="3" t="s">
        <v>31</v>
      </c>
      <c r="H455" s="3" t="s">
        <v>25</v>
      </c>
      <c r="I455" s="3" t="s">
        <v>79</v>
      </c>
      <c r="J455" s="3">
        <v>6</v>
      </c>
      <c r="K455" s="3">
        <v>899</v>
      </c>
      <c r="L455" s="3">
        <v>0.15</v>
      </c>
      <c r="M455" s="3">
        <v>3726.73</v>
      </c>
      <c r="N455" s="3" t="s">
        <v>67</v>
      </c>
      <c r="O455" s="15">
        <f t="shared" si="45"/>
        <v>5394</v>
      </c>
      <c r="P455" s="20">
        <f t="shared" si="46"/>
        <v>809.1</v>
      </c>
      <c r="R455" s="25">
        <f t="shared" si="47"/>
        <v>32364</v>
      </c>
      <c r="S455" s="24">
        <f t="shared" si="48"/>
        <v>0</v>
      </c>
    </row>
    <row r="456" spans="1:19" ht="15.6" thickTop="1" thickBot="1" x14ac:dyDescent="0.35">
      <c r="A456" s="8" t="s">
        <v>785</v>
      </c>
      <c r="B456" s="14">
        <v>47311</v>
      </c>
      <c r="C456" s="14" t="str">
        <f t="shared" si="43"/>
        <v>2029</v>
      </c>
      <c r="D456" s="14" t="str">
        <f t="shared" si="44"/>
        <v>07</v>
      </c>
      <c r="E456" s="9" t="s">
        <v>92</v>
      </c>
      <c r="F456" s="9" t="s">
        <v>23</v>
      </c>
      <c r="G456" s="9" t="s">
        <v>24</v>
      </c>
      <c r="H456" s="9" t="s">
        <v>17</v>
      </c>
      <c r="I456" s="9" t="s">
        <v>113</v>
      </c>
      <c r="J456" s="9">
        <v>3</v>
      </c>
      <c r="K456" s="9">
        <v>180</v>
      </c>
      <c r="L456" s="9">
        <v>0.15</v>
      </c>
      <c r="M456" s="9">
        <v>402.9</v>
      </c>
      <c r="N456" s="9" t="s">
        <v>44</v>
      </c>
      <c r="O456" s="15">
        <f t="shared" si="45"/>
        <v>540</v>
      </c>
      <c r="P456" s="20">
        <f t="shared" si="46"/>
        <v>81</v>
      </c>
      <c r="R456" s="25">
        <f t="shared" si="47"/>
        <v>1620</v>
      </c>
      <c r="S456" s="24">
        <f t="shared" si="48"/>
        <v>0</v>
      </c>
    </row>
    <row r="457" spans="1:19" ht="15.6" thickTop="1" thickBot="1" x14ac:dyDescent="0.35">
      <c r="A457" s="7" t="s">
        <v>786</v>
      </c>
      <c r="B457" s="14">
        <v>47312</v>
      </c>
      <c r="C457" s="14" t="str">
        <f t="shared" si="43"/>
        <v>2029</v>
      </c>
      <c r="D457" s="14" t="str">
        <f t="shared" si="44"/>
        <v>07</v>
      </c>
      <c r="E457" s="3" t="s">
        <v>14</v>
      </c>
      <c r="F457" s="3" t="s">
        <v>23</v>
      </c>
      <c r="G457" s="3" t="s">
        <v>59</v>
      </c>
      <c r="H457" s="3" t="s">
        <v>39</v>
      </c>
      <c r="I457" s="3" t="s">
        <v>210</v>
      </c>
      <c r="J457" s="3">
        <v>7</v>
      </c>
      <c r="K457" s="3">
        <v>1999</v>
      </c>
      <c r="L457" s="3">
        <v>0.1</v>
      </c>
      <c r="M457" s="3">
        <v>11126.83</v>
      </c>
      <c r="N457" s="3" t="s">
        <v>44</v>
      </c>
      <c r="O457" s="15">
        <f t="shared" si="45"/>
        <v>13993</v>
      </c>
      <c r="P457" s="20">
        <f t="shared" si="46"/>
        <v>1399.3000000000002</v>
      </c>
      <c r="R457" s="25">
        <f t="shared" si="47"/>
        <v>97951</v>
      </c>
      <c r="S457" s="24">
        <f t="shared" si="48"/>
        <v>0</v>
      </c>
    </row>
    <row r="458" spans="1:19" ht="15.6" thickTop="1" thickBot="1" x14ac:dyDescent="0.35">
      <c r="A458" s="8" t="s">
        <v>787</v>
      </c>
      <c r="B458" s="14">
        <v>47313</v>
      </c>
      <c r="C458" s="14" t="str">
        <f t="shared" si="43"/>
        <v>2029</v>
      </c>
      <c r="D458" s="14" t="str">
        <f t="shared" si="44"/>
        <v>07</v>
      </c>
      <c r="E458" s="9" t="s">
        <v>73</v>
      </c>
      <c r="F458" s="9" t="s">
        <v>15</v>
      </c>
      <c r="G458" s="9" t="s">
        <v>47</v>
      </c>
      <c r="H458" s="9" t="s">
        <v>39</v>
      </c>
      <c r="I458" s="9" t="s">
        <v>66</v>
      </c>
      <c r="J458" s="9">
        <v>3</v>
      </c>
      <c r="K458" s="9">
        <v>1199</v>
      </c>
      <c r="L458" s="9">
        <v>0.05</v>
      </c>
      <c r="M458" s="9">
        <v>2061.54</v>
      </c>
      <c r="N458" s="9" t="s">
        <v>44</v>
      </c>
      <c r="O458" s="15">
        <f t="shared" si="45"/>
        <v>3597</v>
      </c>
      <c r="P458" s="20">
        <f t="shared" si="46"/>
        <v>179.85000000000002</v>
      </c>
      <c r="R458" s="25">
        <f t="shared" si="47"/>
        <v>10791</v>
      </c>
      <c r="S458" s="24">
        <f t="shared" si="48"/>
        <v>0</v>
      </c>
    </row>
    <row r="459" spans="1:19" ht="15.6" thickTop="1" thickBot="1" x14ac:dyDescent="0.35">
      <c r="A459" s="7" t="s">
        <v>788</v>
      </c>
      <c r="B459" s="14">
        <v>47314</v>
      </c>
      <c r="C459" s="14" t="str">
        <f t="shared" si="43"/>
        <v>2029</v>
      </c>
      <c r="D459" s="14" t="str">
        <f t="shared" si="44"/>
        <v>07</v>
      </c>
      <c r="E459" s="3" t="s">
        <v>82</v>
      </c>
      <c r="F459" s="3" t="s">
        <v>15</v>
      </c>
      <c r="G459" s="3" t="s">
        <v>31</v>
      </c>
      <c r="H459" s="3" t="s">
        <v>17</v>
      </c>
      <c r="I459" s="3" t="s">
        <v>74</v>
      </c>
      <c r="J459" s="3">
        <v>2</v>
      </c>
      <c r="K459" s="3">
        <v>240</v>
      </c>
      <c r="L459" s="3">
        <v>0.05</v>
      </c>
      <c r="M459" s="3">
        <v>323.7</v>
      </c>
      <c r="N459" s="3" t="s">
        <v>44</v>
      </c>
      <c r="O459" s="15">
        <f t="shared" si="45"/>
        <v>480</v>
      </c>
      <c r="P459" s="20">
        <f t="shared" si="46"/>
        <v>24</v>
      </c>
      <c r="R459" s="25">
        <f t="shared" si="47"/>
        <v>960</v>
      </c>
      <c r="S459" s="24">
        <f t="shared" si="48"/>
        <v>0</v>
      </c>
    </row>
    <row r="460" spans="1:19" ht="15.6" thickTop="1" thickBot="1" x14ac:dyDescent="0.35">
      <c r="A460" s="8" t="s">
        <v>789</v>
      </c>
      <c r="B460" s="14">
        <v>47315</v>
      </c>
      <c r="C460" s="14" t="str">
        <f t="shared" si="43"/>
        <v>2029</v>
      </c>
      <c r="D460" s="14" t="str">
        <f t="shared" si="44"/>
        <v>07</v>
      </c>
      <c r="E460" s="9" t="s">
        <v>73</v>
      </c>
      <c r="F460" s="9" t="s">
        <v>23</v>
      </c>
      <c r="G460" s="9" t="s">
        <v>59</v>
      </c>
      <c r="H460" s="9" t="s">
        <v>39</v>
      </c>
      <c r="I460" s="9" t="s">
        <v>210</v>
      </c>
      <c r="J460" s="9">
        <v>3</v>
      </c>
      <c r="K460" s="9">
        <v>1999</v>
      </c>
      <c r="L460" s="9">
        <v>0.15</v>
      </c>
      <c r="M460" s="9">
        <v>3338.73</v>
      </c>
      <c r="N460" s="9" t="s">
        <v>27</v>
      </c>
      <c r="O460" s="15">
        <f t="shared" si="45"/>
        <v>5997</v>
      </c>
      <c r="P460" s="20">
        <f t="shared" si="46"/>
        <v>899.55</v>
      </c>
      <c r="R460" s="25">
        <f t="shared" si="47"/>
        <v>17991</v>
      </c>
      <c r="S460" s="24">
        <f t="shared" si="48"/>
        <v>0</v>
      </c>
    </row>
    <row r="461" spans="1:19" ht="15.6" thickTop="1" thickBot="1" x14ac:dyDescent="0.35">
      <c r="A461" s="7" t="s">
        <v>790</v>
      </c>
      <c r="B461" s="14">
        <v>47316</v>
      </c>
      <c r="C461" s="14" t="str">
        <f t="shared" si="43"/>
        <v>2029</v>
      </c>
      <c r="D461" s="14" t="str">
        <f t="shared" si="44"/>
        <v>07</v>
      </c>
      <c r="E461" s="3" t="s">
        <v>22</v>
      </c>
      <c r="F461" s="3" t="s">
        <v>15</v>
      </c>
      <c r="G461" s="3" t="s">
        <v>31</v>
      </c>
      <c r="H461" s="3" t="s">
        <v>25</v>
      </c>
      <c r="I461" s="3" t="s">
        <v>70</v>
      </c>
      <c r="J461" s="3">
        <v>3</v>
      </c>
      <c r="K461" s="3">
        <v>1299</v>
      </c>
      <c r="L461" s="3">
        <v>0</v>
      </c>
      <c r="M461" s="3">
        <v>2337.8200000000002</v>
      </c>
      <c r="N461" s="3" t="s">
        <v>34</v>
      </c>
      <c r="O461" s="15">
        <f t="shared" si="45"/>
        <v>3897</v>
      </c>
      <c r="P461" s="20">
        <f t="shared" si="46"/>
        <v>0</v>
      </c>
      <c r="R461" s="25">
        <f t="shared" si="47"/>
        <v>11691</v>
      </c>
      <c r="S461" s="24">
        <f t="shared" si="48"/>
        <v>0</v>
      </c>
    </row>
    <row r="462" spans="1:19" ht="15.6" thickTop="1" thickBot="1" x14ac:dyDescent="0.35">
      <c r="A462" s="8" t="s">
        <v>791</v>
      </c>
      <c r="B462" s="14">
        <v>47317</v>
      </c>
      <c r="C462" s="14" t="str">
        <f t="shared" si="43"/>
        <v>2029</v>
      </c>
      <c r="D462" s="14" t="str">
        <f t="shared" si="44"/>
        <v>07</v>
      </c>
      <c r="E462" s="9" t="s">
        <v>37</v>
      </c>
      <c r="F462" s="9" t="s">
        <v>15</v>
      </c>
      <c r="G462" s="9" t="s">
        <v>16</v>
      </c>
      <c r="H462" s="9" t="s">
        <v>17</v>
      </c>
      <c r="I462" s="9" t="s">
        <v>89</v>
      </c>
      <c r="J462" s="9">
        <v>4</v>
      </c>
      <c r="K462" s="9">
        <v>650</v>
      </c>
      <c r="L462" s="9">
        <v>0.15</v>
      </c>
      <c r="M462" s="9">
        <v>1903.09</v>
      </c>
      <c r="N462" s="9" t="s">
        <v>67</v>
      </c>
      <c r="O462" s="15">
        <f t="shared" si="45"/>
        <v>2600</v>
      </c>
      <c r="P462" s="20">
        <f t="shared" si="46"/>
        <v>390</v>
      </c>
      <c r="R462" s="25">
        <f t="shared" si="47"/>
        <v>10400</v>
      </c>
      <c r="S462" s="24">
        <f t="shared" si="48"/>
        <v>0</v>
      </c>
    </row>
    <row r="463" spans="1:19" ht="15.6" thickTop="1" thickBot="1" x14ac:dyDescent="0.35">
      <c r="A463" s="7" t="s">
        <v>793</v>
      </c>
      <c r="B463" s="14">
        <v>47318</v>
      </c>
      <c r="C463" s="14" t="str">
        <f t="shared" si="43"/>
        <v>2029</v>
      </c>
      <c r="D463" s="14" t="str">
        <f t="shared" si="44"/>
        <v>07</v>
      </c>
      <c r="E463" s="3" t="s">
        <v>82</v>
      </c>
      <c r="F463" s="3" t="s">
        <v>15</v>
      </c>
      <c r="G463" s="3" t="s">
        <v>59</v>
      </c>
      <c r="H463" s="3" t="s">
        <v>39</v>
      </c>
      <c r="I463" s="3" t="s">
        <v>210</v>
      </c>
      <c r="J463" s="3">
        <v>3</v>
      </c>
      <c r="K463" s="3">
        <v>1999</v>
      </c>
      <c r="L463" s="3">
        <v>0.2</v>
      </c>
      <c r="M463" s="3">
        <v>4485.12</v>
      </c>
      <c r="N463" s="3" t="s">
        <v>44</v>
      </c>
      <c r="O463" s="15">
        <f t="shared" si="45"/>
        <v>5997</v>
      </c>
      <c r="P463" s="20">
        <f t="shared" si="46"/>
        <v>1199.4000000000001</v>
      </c>
      <c r="R463" s="25">
        <f t="shared" si="47"/>
        <v>17991</v>
      </c>
      <c r="S463" s="24">
        <f t="shared" si="48"/>
        <v>0</v>
      </c>
    </row>
    <row r="464" spans="1:19" ht="15.6" thickTop="1" thickBot="1" x14ac:dyDescent="0.35">
      <c r="A464" s="8" t="s">
        <v>794</v>
      </c>
      <c r="B464" s="14">
        <v>47319</v>
      </c>
      <c r="C464" s="14" t="str">
        <f t="shared" si="43"/>
        <v>2029</v>
      </c>
      <c r="D464" s="14" t="str">
        <f t="shared" si="44"/>
        <v>07</v>
      </c>
      <c r="E464" s="9" t="s">
        <v>43</v>
      </c>
      <c r="F464" s="9" t="s">
        <v>23</v>
      </c>
      <c r="G464" s="9" t="s">
        <v>47</v>
      </c>
      <c r="H464" s="9" t="s">
        <v>25</v>
      </c>
      <c r="I464" s="9" t="s">
        <v>79</v>
      </c>
      <c r="J464" s="9">
        <v>7</v>
      </c>
      <c r="K464" s="9">
        <v>899</v>
      </c>
      <c r="L464" s="9">
        <v>0.15</v>
      </c>
      <c r="M464" s="9">
        <v>3710.76</v>
      </c>
      <c r="N464" s="9" t="s">
        <v>27</v>
      </c>
      <c r="O464" s="15">
        <f t="shared" si="45"/>
        <v>6293</v>
      </c>
      <c r="P464" s="20">
        <f t="shared" si="46"/>
        <v>943.94999999999993</v>
      </c>
      <c r="R464" s="25">
        <f t="shared" si="47"/>
        <v>44051</v>
      </c>
      <c r="S464" s="24">
        <f t="shared" si="48"/>
        <v>0</v>
      </c>
    </row>
    <row r="465" spans="1:19" ht="15.6" thickTop="1" thickBot="1" x14ac:dyDescent="0.35">
      <c r="A465" s="7" t="s">
        <v>795</v>
      </c>
      <c r="B465" s="14">
        <v>47320</v>
      </c>
      <c r="C465" s="14" t="str">
        <f t="shared" si="43"/>
        <v>2029</v>
      </c>
      <c r="D465" s="14" t="str">
        <f t="shared" si="44"/>
        <v>07</v>
      </c>
      <c r="E465" s="3" t="s">
        <v>76</v>
      </c>
      <c r="F465" s="3" t="s">
        <v>23</v>
      </c>
      <c r="G465" s="3" t="s">
        <v>31</v>
      </c>
      <c r="H465" s="3" t="s">
        <v>25</v>
      </c>
      <c r="I465" s="3" t="s">
        <v>79</v>
      </c>
      <c r="J465" s="3">
        <v>8</v>
      </c>
      <c r="K465" s="3">
        <v>899</v>
      </c>
      <c r="L465" s="3">
        <v>0.2</v>
      </c>
      <c r="M465" s="3">
        <v>5249.76</v>
      </c>
      <c r="N465" s="3" t="s">
        <v>19</v>
      </c>
      <c r="O465" s="15">
        <f t="shared" si="45"/>
        <v>7192</v>
      </c>
      <c r="P465" s="20">
        <f t="shared" si="46"/>
        <v>1438.4</v>
      </c>
      <c r="R465" s="25">
        <f t="shared" si="47"/>
        <v>57536</v>
      </c>
      <c r="S465" s="24">
        <f t="shared" si="48"/>
        <v>0</v>
      </c>
    </row>
    <row r="466" spans="1:19" ht="15.6" thickTop="1" thickBot="1" x14ac:dyDescent="0.35">
      <c r="A466" s="8" t="s">
        <v>796</v>
      </c>
      <c r="B466" s="14">
        <v>47321</v>
      </c>
      <c r="C466" s="14" t="str">
        <f t="shared" si="43"/>
        <v>2029</v>
      </c>
      <c r="D466" s="14" t="str">
        <f t="shared" si="44"/>
        <v>07</v>
      </c>
      <c r="E466" s="9" t="s">
        <v>14</v>
      </c>
      <c r="F466" s="9" t="s">
        <v>15</v>
      </c>
      <c r="G466" s="9" t="s">
        <v>59</v>
      </c>
      <c r="H466" s="9" t="s">
        <v>39</v>
      </c>
      <c r="I466" s="9" t="s">
        <v>210</v>
      </c>
      <c r="J466" s="9">
        <v>1</v>
      </c>
      <c r="K466" s="9">
        <v>1999</v>
      </c>
      <c r="L466" s="9">
        <v>0.15</v>
      </c>
      <c r="M466" s="9">
        <v>1412.52</v>
      </c>
      <c r="N466" s="9" t="s">
        <v>44</v>
      </c>
      <c r="O466" s="15">
        <f t="shared" si="45"/>
        <v>1999</v>
      </c>
      <c r="P466" s="20">
        <f t="shared" si="46"/>
        <v>299.84999999999997</v>
      </c>
      <c r="R466" s="25">
        <f t="shared" si="47"/>
        <v>1999</v>
      </c>
      <c r="S466" s="24">
        <f t="shared" si="48"/>
        <v>0</v>
      </c>
    </row>
    <row r="467" spans="1:19" ht="15.6" thickTop="1" thickBot="1" x14ac:dyDescent="0.35">
      <c r="A467" s="7" t="s">
        <v>797</v>
      </c>
      <c r="B467" s="14">
        <v>47322</v>
      </c>
      <c r="C467" s="14" t="str">
        <f t="shared" si="43"/>
        <v>2029</v>
      </c>
      <c r="D467" s="14" t="str">
        <f t="shared" si="44"/>
        <v>07</v>
      </c>
      <c r="E467" s="3" t="s">
        <v>76</v>
      </c>
      <c r="F467" s="3" t="s">
        <v>23</v>
      </c>
      <c r="G467" s="3" t="s">
        <v>31</v>
      </c>
      <c r="H467" s="3" t="s">
        <v>32</v>
      </c>
      <c r="I467" s="3" t="s">
        <v>97</v>
      </c>
      <c r="J467" s="3">
        <v>6</v>
      </c>
      <c r="K467" s="3">
        <v>899</v>
      </c>
      <c r="L467" s="3">
        <v>0.2</v>
      </c>
      <c r="M467" s="3">
        <v>4268.74</v>
      </c>
      <c r="N467" s="3" t="s">
        <v>19</v>
      </c>
      <c r="O467" s="15">
        <f t="shared" si="45"/>
        <v>5394</v>
      </c>
      <c r="P467" s="20">
        <f t="shared" si="46"/>
        <v>1078.8</v>
      </c>
      <c r="R467" s="25">
        <f t="shared" si="47"/>
        <v>32364</v>
      </c>
      <c r="S467" s="24">
        <f t="shared" si="48"/>
        <v>0</v>
      </c>
    </row>
    <row r="468" spans="1:19" ht="15.6" thickTop="1" thickBot="1" x14ac:dyDescent="0.35">
      <c r="A468" s="8" t="s">
        <v>798</v>
      </c>
      <c r="B468" s="14">
        <v>47323</v>
      </c>
      <c r="C468" s="14" t="str">
        <f t="shared" si="43"/>
        <v>2029</v>
      </c>
      <c r="D468" s="14" t="str">
        <f t="shared" si="44"/>
        <v>07</v>
      </c>
      <c r="E468" s="9" t="s">
        <v>37</v>
      </c>
      <c r="F468" s="9" t="s">
        <v>15</v>
      </c>
      <c r="G468" s="9" t="s">
        <v>38</v>
      </c>
      <c r="H468" s="9" t="s">
        <v>32</v>
      </c>
      <c r="I468" s="9" t="s">
        <v>60</v>
      </c>
      <c r="J468" s="9">
        <v>2</v>
      </c>
      <c r="K468" s="9">
        <v>1299</v>
      </c>
      <c r="L468" s="9">
        <v>0.1</v>
      </c>
      <c r="M468" s="9">
        <v>1895.21</v>
      </c>
      <c r="N468" s="9" t="s">
        <v>19</v>
      </c>
      <c r="O468" s="15">
        <f t="shared" si="45"/>
        <v>2598</v>
      </c>
      <c r="P468" s="20">
        <f t="shared" si="46"/>
        <v>259.8</v>
      </c>
      <c r="R468" s="25">
        <f t="shared" si="47"/>
        <v>5196</v>
      </c>
      <c r="S468" s="24">
        <f t="shared" si="48"/>
        <v>0</v>
      </c>
    </row>
    <row r="469" spans="1:19" ht="15.6" thickTop="1" thickBot="1" x14ac:dyDescent="0.35">
      <c r="A469" s="7" t="s">
        <v>800</v>
      </c>
      <c r="B469" s="14">
        <v>47324</v>
      </c>
      <c r="C469" s="14" t="str">
        <f t="shared" si="43"/>
        <v>2029</v>
      </c>
      <c r="D469" s="14" t="str">
        <f t="shared" si="44"/>
        <v>07</v>
      </c>
      <c r="E469" s="3" t="s">
        <v>63</v>
      </c>
      <c r="F469" s="3" t="s">
        <v>15</v>
      </c>
      <c r="G469" s="3" t="s">
        <v>24</v>
      </c>
      <c r="H469" s="3" t="s">
        <v>25</v>
      </c>
      <c r="I469" s="3" t="s">
        <v>70</v>
      </c>
      <c r="J469" s="3">
        <v>2</v>
      </c>
      <c r="K469" s="3">
        <v>1299</v>
      </c>
      <c r="L469" s="3">
        <v>0.2</v>
      </c>
      <c r="M469" s="3">
        <v>1434.51</v>
      </c>
      <c r="N469" s="3" t="s">
        <v>34</v>
      </c>
      <c r="O469" s="15">
        <f t="shared" si="45"/>
        <v>2598</v>
      </c>
      <c r="P469" s="20">
        <f t="shared" si="46"/>
        <v>519.6</v>
      </c>
      <c r="R469" s="25">
        <f t="shared" si="47"/>
        <v>5196</v>
      </c>
      <c r="S469" s="24">
        <f t="shared" si="48"/>
        <v>0</v>
      </c>
    </row>
    <row r="470" spans="1:19" ht="15.6" thickTop="1" thickBot="1" x14ac:dyDescent="0.35">
      <c r="A470" s="8" t="s">
        <v>801</v>
      </c>
      <c r="B470" s="14">
        <v>47325</v>
      </c>
      <c r="C470" s="14" t="str">
        <f t="shared" si="43"/>
        <v>2029</v>
      </c>
      <c r="D470" s="14" t="str">
        <f t="shared" si="44"/>
        <v>07</v>
      </c>
      <c r="E470" s="9" t="s">
        <v>43</v>
      </c>
      <c r="F470" s="9" t="s">
        <v>23</v>
      </c>
      <c r="G470" s="9" t="s">
        <v>38</v>
      </c>
      <c r="H470" s="9" t="s">
        <v>25</v>
      </c>
      <c r="I470" s="9" t="s">
        <v>79</v>
      </c>
      <c r="J470" s="9">
        <v>7</v>
      </c>
      <c r="K470" s="9">
        <v>899</v>
      </c>
      <c r="L470" s="9">
        <v>0.2</v>
      </c>
      <c r="M470" s="9">
        <v>3939.98</v>
      </c>
      <c r="N470" s="9" t="s">
        <v>19</v>
      </c>
      <c r="O470" s="15">
        <f t="shared" si="45"/>
        <v>6293</v>
      </c>
      <c r="P470" s="20">
        <f t="shared" si="46"/>
        <v>1258.6000000000001</v>
      </c>
      <c r="R470" s="25">
        <f t="shared" si="47"/>
        <v>44051</v>
      </c>
      <c r="S470" s="24">
        <f t="shared" si="48"/>
        <v>0</v>
      </c>
    </row>
    <row r="471" spans="1:19" ht="15.6" thickTop="1" thickBot="1" x14ac:dyDescent="0.35">
      <c r="A471" s="7" t="s">
        <v>802</v>
      </c>
      <c r="B471" s="14">
        <v>47326</v>
      </c>
      <c r="C471" s="14" t="str">
        <f t="shared" si="43"/>
        <v>2029</v>
      </c>
      <c r="D471" s="14" t="str">
        <f t="shared" si="44"/>
        <v>07</v>
      </c>
      <c r="E471" s="3" t="s">
        <v>22</v>
      </c>
      <c r="F471" s="3" t="s">
        <v>23</v>
      </c>
      <c r="G471" s="3" t="s">
        <v>47</v>
      </c>
      <c r="H471" s="3" t="s">
        <v>17</v>
      </c>
      <c r="I471" s="3" t="s">
        <v>86</v>
      </c>
      <c r="J471" s="3">
        <v>4</v>
      </c>
      <c r="K471" s="3">
        <v>55</v>
      </c>
      <c r="L471" s="3">
        <v>0.15</v>
      </c>
      <c r="M471" s="3">
        <v>157.44</v>
      </c>
      <c r="N471" s="3" t="s">
        <v>19</v>
      </c>
      <c r="O471" s="15">
        <f t="shared" si="45"/>
        <v>220</v>
      </c>
      <c r="P471" s="20">
        <f t="shared" si="46"/>
        <v>33</v>
      </c>
      <c r="R471" s="25">
        <f t="shared" si="47"/>
        <v>880</v>
      </c>
      <c r="S471" s="24">
        <f t="shared" si="48"/>
        <v>0</v>
      </c>
    </row>
    <row r="472" spans="1:19" ht="15.6" thickTop="1" thickBot="1" x14ac:dyDescent="0.35">
      <c r="A472" s="8" t="s">
        <v>803</v>
      </c>
      <c r="B472" s="14">
        <v>47327</v>
      </c>
      <c r="C472" s="14" t="str">
        <f t="shared" si="43"/>
        <v>2029</v>
      </c>
      <c r="D472" s="14" t="str">
        <f t="shared" si="44"/>
        <v>07</v>
      </c>
      <c r="E472" s="9" t="s">
        <v>82</v>
      </c>
      <c r="F472" s="9" t="s">
        <v>23</v>
      </c>
      <c r="G472" s="9" t="s">
        <v>47</v>
      </c>
      <c r="H472" s="9" t="s">
        <v>32</v>
      </c>
      <c r="I472" s="9" t="s">
        <v>51</v>
      </c>
      <c r="J472" s="9">
        <v>5</v>
      </c>
      <c r="K472" s="9">
        <v>699</v>
      </c>
      <c r="L472" s="9">
        <v>0.2</v>
      </c>
      <c r="M472" s="9">
        <v>2283.31</v>
      </c>
      <c r="N472" s="9" t="s">
        <v>67</v>
      </c>
      <c r="O472" s="15">
        <f t="shared" si="45"/>
        <v>3495</v>
      </c>
      <c r="P472" s="20">
        <f t="shared" si="46"/>
        <v>699</v>
      </c>
      <c r="R472" s="25">
        <f t="shared" si="47"/>
        <v>17475</v>
      </c>
      <c r="S472" s="24">
        <f t="shared" si="48"/>
        <v>0</v>
      </c>
    </row>
    <row r="473" spans="1:19" ht="15.6" thickTop="1" thickBot="1" x14ac:dyDescent="0.35">
      <c r="A473" s="7" t="s">
        <v>804</v>
      </c>
      <c r="B473" s="14">
        <v>47328</v>
      </c>
      <c r="C473" s="14" t="str">
        <f t="shared" si="43"/>
        <v>2029</v>
      </c>
      <c r="D473" s="14" t="str">
        <f t="shared" si="44"/>
        <v>07</v>
      </c>
      <c r="E473" s="3" t="s">
        <v>14</v>
      </c>
      <c r="F473" s="3" t="s">
        <v>15</v>
      </c>
      <c r="G473" s="3" t="s">
        <v>59</v>
      </c>
      <c r="H473" s="3" t="s">
        <v>39</v>
      </c>
      <c r="I473" s="3" t="s">
        <v>48</v>
      </c>
      <c r="J473" s="3">
        <v>4</v>
      </c>
      <c r="K473" s="3">
        <v>799</v>
      </c>
      <c r="L473" s="3">
        <v>0.2</v>
      </c>
      <c r="M473" s="3">
        <v>2141.86</v>
      </c>
      <c r="N473" s="3" t="s">
        <v>44</v>
      </c>
      <c r="O473" s="15">
        <f t="shared" si="45"/>
        <v>3196</v>
      </c>
      <c r="P473" s="20">
        <f t="shared" si="46"/>
        <v>639.20000000000005</v>
      </c>
      <c r="R473" s="25">
        <f t="shared" si="47"/>
        <v>12784</v>
      </c>
      <c r="S473" s="24">
        <f t="shared" si="48"/>
        <v>0</v>
      </c>
    </row>
    <row r="474" spans="1:19" ht="15.6" thickTop="1" thickBot="1" x14ac:dyDescent="0.35">
      <c r="A474" s="8" t="s">
        <v>805</v>
      </c>
      <c r="B474" s="14">
        <v>47329</v>
      </c>
      <c r="C474" s="14" t="str">
        <f t="shared" si="43"/>
        <v>2029</v>
      </c>
      <c r="D474" s="14" t="str">
        <f t="shared" si="44"/>
        <v>07</v>
      </c>
      <c r="E474" s="9" t="s">
        <v>22</v>
      </c>
      <c r="F474" s="9" t="s">
        <v>15</v>
      </c>
      <c r="G474" s="9" t="s">
        <v>31</v>
      </c>
      <c r="H474" s="9" t="s">
        <v>32</v>
      </c>
      <c r="I474" s="9" t="s">
        <v>103</v>
      </c>
      <c r="J474" s="9">
        <v>2</v>
      </c>
      <c r="K474" s="9">
        <v>499</v>
      </c>
      <c r="L474" s="9">
        <v>0.05</v>
      </c>
      <c r="M474" s="9">
        <v>690.12</v>
      </c>
      <c r="N474" s="9" t="s">
        <v>19</v>
      </c>
      <c r="O474" s="15">
        <f t="shared" si="45"/>
        <v>998</v>
      </c>
      <c r="P474" s="20">
        <f t="shared" si="46"/>
        <v>49.900000000000006</v>
      </c>
      <c r="R474" s="25">
        <f t="shared" si="47"/>
        <v>1996</v>
      </c>
      <c r="S474" s="24">
        <f t="shared" si="48"/>
        <v>0</v>
      </c>
    </row>
    <row r="475" spans="1:19" ht="15.6" thickTop="1" thickBot="1" x14ac:dyDescent="0.35">
      <c r="A475" s="7" t="s">
        <v>806</v>
      </c>
      <c r="B475" s="14">
        <v>47330</v>
      </c>
      <c r="C475" s="14" t="str">
        <f t="shared" si="43"/>
        <v>2029</v>
      </c>
      <c r="D475" s="14" t="str">
        <f t="shared" si="44"/>
        <v>07</v>
      </c>
      <c r="E475" s="3" t="s">
        <v>14</v>
      </c>
      <c r="F475" s="3" t="s">
        <v>15</v>
      </c>
      <c r="G475" s="3" t="s">
        <v>38</v>
      </c>
      <c r="H475" s="3" t="s">
        <v>39</v>
      </c>
      <c r="I475" s="3" t="s">
        <v>106</v>
      </c>
      <c r="J475" s="3">
        <v>2</v>
      </c>
      <c r="K475" s="3">
        <v>999</v>
      </c>
      <c r="L475" s="3">
        <v>0.2</v>
      </c>
      <c r="M475" s="3">
        <v>1121.53</v>
      </c>
      <c r="N475" s="3" t="s">
        <v>67</v>
      </c>
      <c r="O475" s="15">
        <f t="shared" si="45"/>
        <v>1998</v>
      </c>
      <c r="P475" s="20">
        <f t="shared" si="46"/>
        <v>399.6</v>
      </c>
      <c r="R475" s="25">
        <f t="shared" si="47"/>
        <v>3996</v>
      </c>
      <c r="S475" s="24">
        <f t="shared" si="48"/>
        <v>0</v>
      </c>
    </row>
    <row r="476" spans="1:19" ht="15.6" thickTop="1" thickBot="1" x14ac:dyDescent="0.35">
      <c r="A476" s="8" t="s">
        <v>808</v>
      </c>
      <c r="B476" s="14">
        <v>47331</v>
      </c>
      <c r="C476" s="14" t="str">
        <f t="shared" si="43"/>
        <v>2029</v>
      </c>
      <c r="D476" s="14" t="str">
        <f t="shared" si="44"/>
        <v>08</v>
      </c>
      <c r="E476" s="9" t="s">
        <v>22</v>
      </c>
      <c r="F476" s="9" t="s">
        <v>23</v>
      </c>
      <c r="G476" s="9" t="s">
        <v>16</v>
      </c>
      <c r="H476" s="9" t="s">
        <v>25</v>
      </c>
      <c r="I476" s="9" t="s">
        <v>79</v>
      </c>
      <c r="J476" s="9">
        <v>8</v>
      </c>
      <c r="K476" s="9">
        <v>899</v>
      </c>
      <c r="L476" s="9">
        <v>0.15</v>
      </c>
      <c r="M476" s="9">
        <v>3978.71</v>
      </c>
      <c r="N476" s="9" t="s">
        <v>19</v>
      </c>
      <c r="O476" s="15">
        <f t="shared" si="45"/>
        <v>7192</v>
      </c>
      <c r="P476" s="20">
        <f t="shared" si="46"/>
        <v>1078.8</v>
      </c>
      <c r="R476" s="25">
        <f t="shared" si="47"/>
        <v>57536</v>
      </c>
      <c r="S476" s="24">
        <f t="shared" si="48"/>
        <v>0</v>
      </c>
    </row>
    <row r="477" spans="1:19" ht="15.6" thickTop="1" thickBot="1" x14ac:dyDescent="0.35">
      <c r="A477" s="7" t="s">
        <v>810</v>
      </c>
      <c r="B477" s="14">
        <v>47332</v>
      </c>
      <c r="C477" s="14" t="str">
        <f t="shared" si="43"/>
        <v>2029</v>
      </c>
      <c r="D477" s="14" t="str">
        <f t="shared" si="44"/>
        <v>08</v>
      </c>
      <c r="E477" s="3" t="s">
        <v>30</v>
      </c>
      <c r="F477" s="3" t="s">
        <v>15</v>
      </c>
      <c r="G477" s="3" t="s">
        <v>47</v>
      </c>
      <c r="H477" s="3" t="s">
        <v>39</v>
      </c>
      <c r="I477" s="3" t="s">
        <v>210</v>
      </c>
      <c r="J477" s="3">
        <v>3</v>
      </c>
      <c r="K477" s="3">
        <v>1999</v>
      </c>
      <c r="L477" s="3">
        <v>0</v>
      </c>
      <c r="M477" s="3">
        <v>3945.56</v>
      </c>
      <c r="N477" s="3" t="s">
        <v>27</v>
      </c>
      <c r="O477" s="15">
        <f t="shared" si="45"/>
        <v>5997</v>
      </c>
      <c r="P477" s="20">
        <f t="shared" si="46"/>
        <v>0</v>
      </c>
      <c r="R477" s="25">
        <f t="shared" si="47"/>
        <v>17991</v>
      </c>
      <c r="S477" s="24">
        <f t="shared" si="48"/>
        <v>0</v>
      </c>
    </row>
    <row r="478" spans="1:19" ht="15.6" thickTop="1" thickBot="1" x14ac:dyDescent="0.35">
      <c r="A478" s="8" t="s">
        <v>811</v>
      </c>
      <c r="B478" s="14">
        <v>47333</v>
      </c>
      <c r="C478" s="14" t="str">
        <f t="shared" si="43"/>
        <v>2029</v>
      </c>
      <c r="D478" s="14" t="str">
        <f t="shared" si="44"/>
        <v>08</v>
      </c>
      <c r="E478" s="9" t="s">
        <v>14</v>
      </c>
      <c r="F478" s="9" t="s">
        <v>23</v>
      </c>
      <c r="G478" s="9" t="s">
        <v>59</v>
      </c>
      <c r="H478" s="9" t="s">
        <v>17</v>
      </c>
      <c r="I478" s="9" t="s">
        <v>86</v>
      </c>
      <c r="J478" s="9">
        <v>7</v>
      </c>
      <c r="K478" s="9">
        <v>55</v>
      </c>
      <c r="L478" s="9">
        <v>0.2</v>
      </c>
      <c r="M478" s="9">
        <v>234.89</v>
      </c>
      <c r="N478" s="9" t="s">
        <v>27</v>
      </c>
      <c r="O478" s="15">
        <f t="shared" si="45"/>
        <v>385</v>
      </c>
      <c r="P478" s="20">
        <f t="shared" si="46"/>
        <v>77</v>
      </c>
      <c r="R478" s="25">
        <f t="shared" si="47"/>
        <v>2695</v>
      </c>
      <c r="S478" s="24">
        <f t="shared" si="48"/>
        <v>0</v>
      </c>
    </row>
    <row r="479" spans="1:19" ht="15.6" thickTop="1" thickBot="1" x14ac:dyDescent="0.35">
      <c r="A479" s="7" t="s">
        <v>812</v>
      </c>
      <c r="B479" s="14">
        <v>47334</v>
      </c>
      <c r="C479" s="14" t="str">
        <f t="shared" si="43"/>
        <v>2029</v>
      </c>
      <c r="D479" s="14" t="str">
        <f t="shared" si="44"/>
        <v>08</v>
      </c>
      <c r="E479" s="3" t="s">
        <v>14</v>
      </c>
      <c r="F479" s="3" t="s">
        <v>15</v>
      </c>
      <c r="G479" s="3" t="s">
        <v>47</v>
      </c>
      <c r="H479" s="3" t="s">
        <v>17</v>
      </c>
      <c r="I479" s="3" t="s">
        <v>74</v>
      </c>
      <c r="J479" s="3">
        <v>6</v>
      </c>
      <c r="K479" s="3">
        <v>240</v>
      </c>
      <c r="L479" s="3">
        <v>0.1</v>
      </c>
      <c r="M479" s="3">
        <v>1208.1400000000001</v>
      </c>
      <c r="N479" s="3" t="s">
        <v>44</v>
      </c>
      <c r="O479" s="15">
        <f t="shared" si="45"/>
        <v>1440</v>
      </c>
      <c r="P479" s="20">
        <f t="shared" si="46"/>
        <v>144</v>
      </c>
      <c r="R479" s="25">
        <f t="shared" si="47"/>
        <v>8640</v>
      </c>
      <c r="S479" s="24">
        <f t="shared" si="48"/>
        <v>0</v>
      </c>
    </row>
    <row r="480" spans="1:19" ht="15.6" thickTop="1" thickBot="1" x14ac:dyDescent="0.35">
      <c r="A480" s="8" t="s">
        <v>813</v>
      </c>
      <c r="B480" s="14">
        <v>47335</v>
      </c>
      <c r="C480" s="14" t="str">
        <f t="shared" si="43"/>
        <v>2029</v>
      </c>
      <c r="D480" s="14" t="str">
        <f t="shared" si="44"/>
        <v>08</v>
      </c>
      <c r="E480" s="9" t="s">
        <v>22</v>
      </c>
      <c r="F480" s="9" t="s">
        <v>15</v>
      </c>
      <c r="G480" s="9" t="s">
        <v>59</v>
      </c>
      <c r="H480" s="9" t="s">
        <v>32</v>
      </c>
      <c r="I480" s="9" t="s">
        <v>33</v>
      </c>
      <c r="J480" s="9">
        <v>1</v>
      </c>
      <c r="K480" s="9">
        <v>1499</v>
      </c>
      <c r="L480" s="9">
        <v>0.1</v>
      </c>
      <c r="M480" s="9">
        <v>903.16</v>
      </c>
      <c r="N480" s="9" t="s">
        <v>19</v>
      </c>
      <c r="O480" s="15">
        <f t="shared" si="45"/>
        <v>1499</v>
      </c>
      <c r="P480" s="20">
        <f t="shared" si="46"/>
        <v>149.9</v>
      </c>
      <c r="R480" s="25">
        <f t="shared" si="47"/>
        <v>1499</v>
      </c>
      <c r="S480" s="24">
        <f t="shared" si="48"/>
        <v>0</v>
      </c>
    </row>
    <row r="481" spans="1:19" ht="15.6" thickTop="1" thickBot="1" x14ac:dyDescent="0.35">
      <c r="A481" s="7" t="s">
        <v>815</v>
      </c>
      <c r="B481" s="14">
        <v>47336</v>
      </c>
      <c r="C481" s="14" t="str">
        <f t="shared" si="43"/>
        <v>2029</v>
      </c>
      <c r="D481" s="14" t="str">
        <f t="shared" si="44"/>
        <v>08</v>
      </c>
      <c r="E481" s="3" t="s">
        <v>76</v>
      </c>
      <c r="F481" s="3" t="s">
        <v>15</v>
      </c>
      <c r="G481" s="3" t="s">
        <v>47</v>
      </c>
      <c r="H481" s="3" t="s">
        <v>17</v>
      </c>
      <c r="I481" s="3" t="s">
        <v>113</v>
      </c>
      <c r="J481" s="3">
        <v>2</v>
      </c>
      <c r="K481" s="3">
        <v>180</v>
      </c>
      <c r="L481" s="3">
        <v>0.2</v>
      </c>
      <c r="M481" s="3">
        <v>301.32</v>
      </c>
      <c r="N481" s="3" t="s">
        <v>19</v>
      </c>
      <c r="O481" s="15">
        <f t="shared" si="45"/>
        <v>360</v>
      </c>
      <c r="P481" s="20">
        <f t="shared" si="46"/>
        <v>72</v>
      </c>
      <c r="R481" s="25">
        <f t="shared" si="47"/>
        <v>720</v>
      </c>
      <c r="S481" s="24">
        <f t="shared" si="48"/>
        <v>0</v>
      </c>
    </row>
    <row r="482" spans="1:19" ht="15.6" thickTop="1" thickBot="1" x14ac:dyDescent="0.35">
      <c r="A482" s="8" t="s">
        <v>816</v>
      </c>
      <c r="B482" s="14">
        <v>47337</v>
      </c>
      <c r="C482" s="14" t="str">
        <f t="shared" si="43"/>
        <v>2029</v>
      </c>
      <c r="D482" s="14" t="str">
        <f t="shared" si="44"/>
        <v>08</v>
      </c>
      <c r="E482" s="9" t="s">
        <v>63</v>
      </c>
      <c r="F482" s="9" t="s">
        <v>23</v>
      </c>
      <c r="G482" s="9" t="s">
        <v>59</v>
      </c>
      <c r="H482" s="9" t="s">
        <v>32</v>
      </c>
      <c r="I482" s="9" t="s">
        <v>60</v>
      </c>
      <c r="J482" s="9">
        <v>6</v>
      </c>
      <c r="K482" s="9">
        <v>1299</v>
      </c>
      <c r="L482" s="9">
        <v>0.15</v>
      </c>
      <c r="M482" s="9">
        <v>5880.4</v>
      </c>
      <c r="N482" s="9" t="s">
        <v>19</v>
      </c>
      <c r="O482" s="15">
        <f t="shared" si="45"/>
        <v>7794</v>
      </c>
      <c r="P482" s="20">
        <f t="shared" si="46"/>
        <v>1169.0999999999999</v>
      </c>
      <c r="R482" s="25">
        <f t="shared" si="47"/>
        <v>46764</v>
      </c>
      <c r="S482" s="24">
        <f t="shared" si="48"/>
        <v>0</v>
      </c>
    </row>
    <row r="483" spans="1:19" ht="15.6" thickTop="1" thickBot="1" x14ac:dyDescent="0.35">
      <c r="A483" s="7" t="s">
        <v>817</v>
      </c>
      <c r="B483" s="14">
        <v>47338</v>
      </c>
      <c r="C483" s="14" t="str">
        <f t="shared" si="43"/>
        <v>2029</v>
      </c>
      <c r="D483" s="14" t="str">
        <f t="shared" si="44"/>
        <v>08</v>
      </c>
      <c r="E483" s="3" t="s">
        <v>73</v>
      </c>
      <c r="F483" s="3" t="s">
        <v>15</v>
      </c>
      <c r="G483" s="3" t="s">
        <v>38</v>
      </c>
      <c r="H483" s="3" t="s">
        <v>25</v>
      </c>
      <c r="I483" s="3" t="s">
        <v>250</v>
      </c>
      <c r="J483" s="3">
        <v>4</v>
      </c>
      <c r="K483" s="3">
        <v>299</v>
      </c>
      <c r="L483" s="3">
        <v>0.05</v>
      </c>
      <c r="M483" s="3">
        <v>944.9</v>
      </c>
      <c r="N483" s="3" t="s">
        <v>67</v>
      </c>
      <c r="O483" s="15">
        <f t="shared" si="45"/>
        <v>1196</v>
      </c>
      <c r="P483" s="20">
        <f t="shared" si="46"/>
        <v>59.800000000000004</v>
      </c>
      <c r="R483" s="25">
        <f t="shared" si="47"/>
        <v>4784</v>
      </c>
      <c r="S483" s="24">
        <f t="shared" si="48"/>
        <v>0</v>
      </c>
    </row>
    <row r="484" spans="1:19" ht="15.6" thickTop="1" thickBot="1" x14ac:dyDescent="0.35">
      <c r="A484" s="8" t="s">
        <v>819</v>
      </c>
      <c r="B484" s="14">
        <v>47339</v>
      </c>
      <c r="C484" s="14" t="str">
        <f t="shared" si="43"/>
        <v>2029</v>
      </c>
      <c r="D484" s="14" t="str">
        <f t="shared" si="44"/>
        <v>08</v>
      </c>
      <c r="E484" s="9" t="s">
        <v>76</v>
      </c>
      <c r="F484" s="9" t="s">
        <v>15</v>
      </c>
      <c r="G484" s="9" t="s">
        <v>16</v>
      </c>
      <c r="H484" s="9" t="s">
        <v>17</v>
      </c>
      <c r="I484" s="9" t="s">
        <v>18</v>
      </c>
      <c r="J484" s="9">
        <v>5</v>
      </c>
      <c r="K484" s="9">
        <v>420</v>
      </c>
      <c r="L484" s="9">
        <v>0</v>
      </c>
      <c r="M484" s="9">
        <v>1406.33</v>
      </c>
      <c r="N484" s="9" t="s">
        <v>44</v>
      </c>
      <c r="O484" s="15">
        <f t="shared" si="45"/>
        <v>2100</v>
      </c>
      <c r="P484" s="20">
        <f t="shared" si="46"/>
        <v>0</v>
      </c>
      <c r="R484" s="25">
        <f t="shared" si="47"/>
        <v>10500</v>
      </c>
      <c r="S484" s="24">
        <f t="shared" si="48"/>
        <v>0</v>
      </c>
    </row>
    <row r="485" spans="1:19" ht="15.6" thickTop="1" thickBot="1" x14ac:dyDescent="0.35">
      <c r="A485" s="7" t="s">
        <v>821</v>
      </c>
      <c r="B485" s="14">
        <v>47340</v>
      </c>
      <c r="C485" s="14" t="str">
        <f t="shared" si="43"/>
        <v>2029</v>
      </c>
      <c r="D485" s="14" t="str">
        <f t="shared" si="44"/>
        <v>08</v>
      </c>
      <c r="E485" s="3" t="s">
        <v>76</v>
      </c>
      <c r="F485" s="3" t="s">
        <v>15</v>
      </c>
      <c r="G485" s="3" t="s">
        <v>59</v>
      </c>
      <c r="H485" s="3" t="s">
        <v>17</v>
      </c>
      <c r="I485" s="3" t="s">
        <v>113</v>
      </c>
      <c r="J485" s="3">
        <v>4</v>
      </c>
      <c r="K485" s="3">
        <v>180</v>
      </c>
      <c r="L485" s="3">
        <v>0.2</v>
      </c>
      <c r="M485" s="3">
        <v>454.12</v>
      </c>
      <c r="N485" s="3" t="s">
        <v>34</v>
      </c>
      <c r="O485" s="15">
        <f t="shared" si="45"/>
        <v>720</v>
      </c>
      <c r="P485" s="20">
        <f t="shared" si="46"/>
        <v>144</v>
      </c>
      <c r="R485" s="25">
        <f t="shared" si="47"/>
        <v>2880</v>
      </c>
      <c r="S485" s="24">
        <f t="shared" si="48"/>
        <v>0</v>
      </c>
    </row>
    <row r="486" spans="1:19" ht="15.6" thickTop="1" thickBot="1" x14ac:dyDescent="0.35">
      <c r="A486" s="8" t="s">
        <v>822</v>
      </c>
      <c r="B486" s="14">
        <v>47341</v>
      </c>
      <c r="C486" s="14" t="str">
        <f t="shared" si="43"/>
        <v>2029</v>
      </c>
      <c r="D486" s="14" t="str">
        <f t="shared" si="44"/>
        <v>08</v>
      </c>
      <c r="E486" s="9" t="s">
        <v>30</v>
      </c>
      <c r="F486" s="9" t="s">
        <v>15</v>
      </c>
      <c r="G486" s="9" t="s">
        <v>16</v>
      </c>
      <c r="H486" s="9" t="s">
        <v>39</v>
      </c>
      <c r="I486" s="9" t="s">
        <v>106</v>
      </c>
      <c r="J486" s="9">
        <v>4</v>
      </c>
      <c r="K486" s="9">
        <v>999</v>
      </c>
      <c r="L486" s="9">
        <v>0.05</v>
      </c>
      <c r="M486" s="9">
        <v>2440.88</v>
      </c>
      <c r="N486" s="9" t="s">
        <v>34</v>
      </c>
      <c r="O486" s="15">
        <f t="shared" si="45"/>
        <v>3996</v>
      </c>
      <c r="P486" s="20">
        <f t="shared" si="46"/>
        <v>199.8</v>
      </c>
      <c r="R486" s="25">
        <f t="shared" si="47"/>
        <v>15984</v>
      </c>
      <c r="S486" s="24">
        <f t="shared" si="48"/>
        <v>0</v>
      </c>
    </row>
    <row r="487" spans="1:19" ht="15.6" thickTop="1" thickBot="1" x14ac:dyDescent="0.35">
      <c r="A487" s="7" t="s">
        <v>823</v>
      </c>
      <c r="B487" s="14">
        <v>47342</v>
      </c>
      <c r="C487" s="14" t="str">
        <f t="shared" si="43"/>
        <v>2029</v>
      </c>
      <c r="D487" s="14" t="str">
        <f t="shared" si="44"/>
        <v>08</v>
      </c>
      <c r="E487" s="3" t="s">
        <v>43</v>
      </c>
      <c r="F487" s="3" t="s">
        <v>15</v>
      </c>
      <c r="G487" s="3" t="s">
        <v>24</v>
      </c>
      <c r="H487" s="3" t="s">
        <v>25</v>
      </c>
      <c r="I487" s="3" t="s">
        <v>26</v>
      </c>
      <c r="J487" s="3">
        <v>8</v>
      </c>
      <c r="K487" s="3">
        <v>599</v>
      </c>
      <c r="L487" s="3">
        <v>0.2</v>
      </c>
      <c r="M487" s="3">
        <v>2645.12</v>
      </c>
      <c r="N487" s="3" t="s">
        <v>19</v>
      </c>
      <c r="O487" s="15">
        <f t="shared" si="45"/>
        <v>4792</v>
      </c>
      <c r="P487" s="20">
        <f t="shared" si="46"/>
        <v>958.40000000000009</v>
      </c>
      <c r="R487" s="25">
        <f t="shared" si="47"/>
        <v>38336</v>
      </c>
      <c r="S487" s="24">
        <f t="shared" si="48"/>
        <v>0</v>
      </c>
    </row>
    <row r="488" spans="1:19" ht="15.6" thickTop="1" thickBot="1" x14ac:dyDescent="0.35">
      <c r="A488" s="8" t="s">
        <v>825</v>
      </c>
      <c r="B488" s="14">
        <v>47343</v>
      </c>
      <c r="C488" s="14" t="str">
        <f t="shared" si="43"/>
        <v>2029</v>
      </c>
      <c r="D488" s="14" t="str">
        <f t="shared" si="44"/>
        <v>08</v>
      </c>
      <c r="E488" s="9" t="s">
        <v>73</v>
      </c>
      <c r="F488" s="9" t="s">
        <v>23</v>
      </c>
      <c r="G488" s="9" t="s">
        <v>47</v>
      </c>
      <c r="H488" s="9" t="s">
        <v>17</v>
      </c>
      <c r="I488" s="9" t="s">
        <v>86</v>
      </c>
      <c r="J488" s="9">
        <v>5</v>
      </c>
      <c r="K488" s="9">
        <v>55</v>
      </c>
      <c r="L488" s="9">
        <v>0.15</v>
      </c>
      <c r="M488" s="9">
        <v>166.34</v>
      </c>
      <c r="N488" s="9" t="s">
        <v>19</v>
      </c>
      <c r="O488" s="15">
        <f t="shared" si="45"/>
        <v>275</v>
      </c>
      <c r="P488" s="20">
        <f t="shared" si="46"/>
        <v>41.25</v>
      </c>
      <c r="R488" s="25">
        <f t="shared" si="47"/>
        <v>1375</v>
      </c>
      <c r="S488" s="24">
        <f t="shared" si="48"/>
        <v>0</v>
      </c>
    </row>
    <row r="489" spans="1:19" ht="15.6" thickTop="1" thickBot="1" x14ac:dyDescent="0.35">
      <c r="A489" s="7" t="s">
        <v>826</v>
      </c>
      <c r="B489" s="14">
        <v>47344</v>
      </c>
      <c r="C489" s="14" t="str">
        <f t="shared" si="43"/>
        <v>2029</v>
      </c>
      <c r="D489" s="14" t="str">
        <f t="shared" si="44"/>
        <v>08</v>
      </c>
      <c r="E489" s="3" t="s">
        <v>37</v>
      </c>
      <c r="F489" s="3" t="s">
        <v>15</v>
      </c>
      <c r="G489" s="3" t="s">
        <v>47</v>
      </c>
      <c r="H489" s="3" t="s">
        <v>39</v>
      </c>
      <c r="I489" s="3" t="s">
        <v>48</v>
      </c>
      <c r="J489" s="3">
        <v>7</v>
      </c>
      <c r="K489" s="3">
        <v>799</v>
      </c>
      <c r="L489" s="3">
        <v>0.15</v>
      </c>
      <c r="M489" s="3">
        <v>4652.8</v>
      </c>
      <c r="N489" s="3" t="s">
        <v>27</v>
      </c>
      <c r="O489" s="15">
        <f t="shared" si="45"/>
        <v>5593</v>
      </c>
      <c r="P489" s="20">
        <f t="shared" si="46"/>
        <v>838.94999999999993</v>
      </c>
      <c r="R489" s="25">
        <f t="shared" si="47"/>
        <v>39151</v>
      </c>
      <c r="S489" s="24">
        <f t="shared" si="48"/>
        <v>0</v>
      </c>
    </row>
    <row r="490" spans="1:19" ht="15.6" thickTop="1" thickBot="1" x14ac:dyDescent="0.35">
      <c r="A490" s="8" t="s">
        <v>828</v>
      </c>
      <c r="B490" s="14">
        <v>47345</v>
      </c>
      <c r="C490" s="14" t="str">
        <f t="shared" si="43"/>
        <v>2029</v>
      </c>
      <c r="D490" s="14" t="str">
        <f t="shared" si="44"/>
        <v>08</v>
      </c>
      <c r="E490" s="9" t="s">
        <v>43</v>
      </c>
      <c r="F490" s="9" t="s">
        <v>23</v>
      </c>
      <c r="G490" s="9" t="s">
        <v>16</v>
      </c>
      <c r="H490" s="9" t="s">
        <v>39</v>
      </c>
      <c r="I490" s="9" t="s">
        <v>66</v>
      </c>
      <c r="J490" s="9">
        <v>2</v>
      </c>
      <c r="K490" s="9">
        <v>1199</v>
      </c>
      <c r="L490" s="9">
        <v>0.2</v>
      </c>
      <c r="M490" s="9">
        <v>1649.87</v>
      </c>
      <c r="N490" s="9" t="s">
        <v>27</v>
      </c>
      <c r="O490" s="15">
        <f t="shared" si="45"/>
        <v>2398</v>
      </c>
      <c r="P490" s="20">
        <f t="shared" si="46"/>
        <v>479.6</v>
      </c>
      <c r="R490" s="25">
        <f t="shared" si="47"/>
        <v>4796</v>
      </c>
      <c r="S490" s="24">
        <f t="shared" si="48"/>
        <v>0</v>
      </c>
    </row>
    <row r="491" spans="1:19" ht="15.6" thickTop="1" thickBot="1" x14ac:dyDescent="0.35">
      <c r="A491" s="7" t="s">
        <v>829</v>
      </c>
      <c r="B491" s="14">
        <v>47346</v>
      </c>
      <c r="C491" s="14" t="str">
        <f t="shared" si="43"/>
        <v>2029</v>
      </c>
      <c r="D491" s="14" t="str">
        <f t="shared" si="44"/>
        <v>08</v>
      </c>
      <c r="E491" s="3" t="s">
        <v>30</v>
      </c>
      <c r="F491" s="3" t="s">
        <v>23</v>
      </c>
      <c r="G491" s="3" t="s">
        <v>47</v>
      </c>
      <c r="H491" s="3" t="s">
        <v>25</v>
      </c>
      <c r="I491" s="3" t="s">
        <v>56</v>
      </c>
      <c r="J491" s="3">
        <v>6</v>
      </c>
      <c r="K491" s="3">
        <v>1499</v>
      </c>
      <c r="L491" s="3">
        <v>0.2</v>
      </c>
      <c r="M491" s="3">
        <v>7272.12</v>
      </c>
      <c r="N491" s="3" t="s">
        <v>34</v>
      </c>
      <c r="O491" s="15">
        <f t="shared" si="45"/>
        <v>8994</v>
      </c>
      <c r="P491" s="20">
        <f t="shared" si="46"/>
        <v>1798.8000000000002</v>
      </c>
      <c r="R491" s="25">
        <f t="shared" si="47"/>
        <v>53964</v>
      </c>
      <c r="S491" s="24">
        <f t="shared" si="48"/>
        <v>0</v>
      </c>
    </row>
    <row r="492" spans="1:19" ht="15.6" thickTop="1" thickBot="1" x14ac:dyDescent="0.35">
      <c r="A492" s="8" t="s">
        <v>830</v>
      </c>
      <c r="B492" s="14">
        <v>47347</v>
      </c>
      <c r="C492" s="14" t="str">
        <f t="shared" si="43"/>
        <v>2029</v>
      </c>
      <c r="D492" s="14" t="str">
        <f t="shared" si="44"/>
        <v>08</v>
      </c>
      <c r="E492" s="9" t="s">
        <v>63</v>
      </c>
      <c r="F492" s="9" t="s">
        <v>15</v>
      </c>
      <c r="G492" s="9" t="s">
        <v>38</v>
      </c>
      <c r="H492" s="9" t="s">
        <v>32</v>
      </c>
      <c r="I492" s="9" t="s">
        <v>33</v>
      </c>
      <c r="J492" s="9">
        <v>6</v>
      </c>
      <c r="K492" s="9">
        <v>1499</v>
      </c>
      <c r="L492" s="9">
        <v>0.1</v>
      </c>
      <c r="M492" s="9">
        <v>5442.94</v>
      </c>
      <c r="N492" s="9" t="s">
        <v>67</v>
      </c>
      <c r="O492" s="15">
        <f t="shared" si="45"/>
        <v>8994</v>
      </c>
      <c r="P492" s="20">
        <f t="shared" si="46"/>
        <v>899.40000000000009</v>
      </c>
      <c r="R492" s="25">
        <f t="shared" si="47"/>
        <v>53964</v>
      </c>
      <c r="S492" s="24">
        <f t="shared" si="48"/>
        <v>0</v>
      </c>
    </row>
    <row r="493" spans="1:19" ht="15.6" thickTop="1" thickBot="1" x14ac:dyDescent="0.35">
      <c r="A493" s="7" t="s">
        <v>831</v>
      </c>
      <c r="B493" s="14">
        <v>47348</v>
      </c>
      <c r="C493" s="14" t="str">
        <f t="shared" si="43"/>
        <v>2029</v>
      </c>
      <c r="D493" s="14" t="str">
        <f t="shared" si="44"/>
        <v>08</v>
      </c>
      <c r="E493" s="3" t="s">
        <v>37</v>
      </c>
      <c r="F493" s="3" t="s">
        <v>23</v>
      </c>
      <c r="G493" s="3" t="s">
        <v>38</v>
      </c>
      <c r="H493" s="3" t="s">
        <v>32</v>
      </c>
      <c r="I493" s="3" t="s">
        <v>51</v>
      </c>
      <c r="J493" s="3">
        <v>8</v>
      </c>
      <c r="K493" s="3">
        <v>699</v>
      </c>
      <c r="L493" s="3">
        <v>0.05</v>
      </c>
      <c r="M493" s="3">
        <v>4034.2</v>
      </c>
      <c r="N493" s="3" t="s">
        <v>19</v>
      </c>
      <c r="O493" s="15">
        <f t="shared" si="45"/>
        <v>5592</v>
      </c>
      <c r="P493" s="20">
        <f t="shared" si="46"/>
        <v>279.60000000000002</v>
      </c>
      <c r="R493" s="25">
        <f t="shared" si="47"/>
        <v>44736</v>
      </c>
      <c r="S493" s="24">
        <f t="shared" si="48"/>
        <v>0</v>
      </c>
    </row>
    <row r="494" spans="1:19" ht="15.6" thickTop="1" thickBot="1" x14ac:dyDescent="0.35">
      <c r="A494" s="8" t="s">
        <v>832</v>
      </c>
      <c r="B494" s="14">
        <v>47349</v>
      </c>
      <c r="C494" s="14" t="str">
        <f t="shared" si="43"/>
        <v>2029</v>
      </c>
      <c r="D494" s="14" t="str">
        <f t="shared" si="44"/>
        <v>08</v>
      </c>
      <c r="E494" s="9" t="s">
        <v>30</v>
      </c>
      <c r="F494" s="9" t="s">
        <v>15</v>
      </c>
      <c r="G494" s="9" t="s">
        <v>16</v>
      </c>
      <c r="H494" s="9" t="s">
        <v>17</v>
      </c>
      <c r="I494" s="9" t="s">
        <v>18</v>
      </c>
      <c r="J494" s="9">
        <v>7</v>
      </c>
      <c r="K494" s="9">
        <v>420</v>
      </c>
      <c r="L494" s="9">
        <v>0.15</v>
      </c>
      <c r="M494" s="9">
        <v>1789.93</v>
      </c>
      <c r="N494" s="9" t="s">
        <v>34</v>
      </c>
      <c r="O494" s="15">
        <f t="shared" si="45"/>
        <v>2940</v>
      </c>
      <c r="P494" s="20">
        <f t="shared" si="46"/>
        <v>441</v>
      </c>
      <c r="R494" s="25">
        <f t="shared" si="47"/>
        <v>20580</v>
      </c>
      <c r="S494" s="24">
        <f t="shared" si="48"/>
        <v>0</v>
      </c>
    </row>
    <row r="495" spans="1:19" ht="15.6" thickTop="1" thickBot="1" x14ac:dyDescent="0.35">
      <c r="A495" s="7" t="s">
        <v>834</v>
      </c>
      <c r="B495" s="14">
        <v>47350</v>
      </c>
      <c r="C495" s="14" t="str">
        <f t="shared" si="43"/>
        <v>2029</v>
      </c>
      <c r="D495" s="14" t="str">
        <f t="shared" si="44"/>
        <v>08</v>
      </c>
      <c r="E495" s="3" t="s">
        <v>92</v>
      </c>
      <c r="F495" s="3" t="s">
        <v>15</v>
      </c>
      <c r="G495" s="3" t="s">
        <v>59</v>
      </c>
      <c r="H495" s="3" t="s">
        <v>32</v>
      </c>
      <c r="I495" s="3" t="s">
        <v>60</v>
      </c>
      <c r="J495" s="3">
        <v>6</v>
      </c>
      <c r="K495" s="3">
        <v>1299</v>
      </c>
      <c r="L495" s="3">
        <v>0.15</v>
      </c>
      <c r="M495" s="3">
        <v>4988.24</v>
      </c>
      <c r="N495" s="3" t="s">
        <v>19</v>
      </c>
      <c r="O495" s="15">
        <f t="shared" si="45"/>
        <v>7794</v>
      </c>
      <c r="P495" s="20">
        <f t="shared" si="46"/>
        <v>1169.0999999999999</v>
      </c>
      <c r="R495" s="25">
        <f t="shared" si="47"/>
        <v>46764</v>
      </c>
      <c r="S495" s="24">
        <f t="shared" si="48"/>
        <v>0</v>
      </c>
    </row>
    <row r="496" spans="1:19" ht="15.6" thickTop="1" thickBot="1" x14ac:dyDescent="0.35">
      <c r="A496" s="8" t="s">
        <v>835</v>
      </c>
      <c r="B496" s="14">
        <v>47351</v>
      </c>
      <c r="C496" s="14" t="str">
        <f t="shared" si="43"/>
        <v>2029</v>
      </c>
      <c r="D496" s="14" t="str">
        <f t="shared" si="44"/>
        <v>08</v>
      </c>
      <c r="E496" s="9" t="s">
        <v>92</v>
      </c>
      <c r="F496" s="9" t="s">
        <v>23</v>
      </c>
      <c r="G496" s="9" t="s">
        <v>24</v>
      </c>
      <c r="H496" s="9" t="s">
        <v>39</v>
      </c>
      <c r="I496" s="9" t="s">
        <v>48</v>
      </c>
      <c r="J496" s="9">
        <v>4</v>
      </c>
      <c r="K496" s="9">
        <v>799</v>
      </c>
      <c r="L496" s="9">
        <v>0.1</v>
      </c>
      <c r="M496" s="9">
        <v>2214.71</v>
      </c>
      <c r="N496" s="9" t="s">
        <v>27</v>
      </c>
      <c r="O496" s="15">
        <f t="shared" si="45"/>
        <v>3196</v>
      </c>
      <c r="P496" s="20">
        <f t="shared" si="46"/>
        <v>319.60000000000002</v>
      </c>
      <c r="R496" s="25">
        <f t="shared" si="47"/>
        <v>12784</v>
      </c>
      <c r="S496" s="24">
        <f t="shared" si="48"/>
        <v>0</v>
      </c>
    </row>
    <row r="497" spans="1:19" ht="15.6" thickTop="1" thickBot="1" x14ac:dyDescent="0.35">
      <c r="A497" s="7" t="s">
        <v>836</v>
      </c>
      <c r="B497" s="14">
        <v>47352</v>
      </c>
      <c r="C497" s="14" t="str">
        <f t="shared" si="43"/>
        <v>2029</v>
      </c>
      <c r="D497" s="14" t="str">
        <f t="shared" si="44"/>
        <v>08</v>
      </c>
      <c r="E497" s="3" t="s">
        <v>14</v>
      </c>
      <c r="F497" s="3" t="s">
        <v>23</v>
      </c>
      <c r="G497" s="3" t="s">
        <v>47</v>
      </c>
      <c r="H497" s="3" t="s">
        <v>17</v>
      </c>
      <c r="I497" s="3" t="s">
        <v>86</v>
      </c>
      <c r="J497" s="3">
        <v>3</v>
      </c>
      <c r="K497" s="3">
        <v>55</v>
      </c>
      <c r="L497" s="3">
        <v>0.05</v>
      </c>
      <c r="M497" s="3">
        <v>122.46</v>
      </c>
      <c r="N497" s="3" t="s">
        <v>44</v>
      </c>
      <c r="O497" s="15">
        <f t="shared" si="45"/>
        <v>165</v>
      </c>
      <c r="P497" s="20">
        <f t="shared" si="46"/>
        <v>8.25</v>
      </c>
      <c r="R497" s="25">
        <f t="shared" si="47"/>
        <v>495</v>
      </c>
      <c r="S497" s="24">
        <f t="shared" si="48"/>
        <v>0</v>
      </c>
    </row>
    <row r="498" spans="1:19" ht="15.6" thickTop="1" thickBot="1" x14ac:dyDescent="0.35">
      <c r="A498" s="8" t="s">
        <v>837</v>
      </c>
      <c r="B498" s="14">
        <v>47353</v>
      </c>
      <c r="C498" s="14" t="str">
        <f t="shared" si="43"/>
        <v>2029</v>
      </c>
      <c r="D498" s="14" t="str">
        <f t="shared" si="44"/>
        <v>08</v>
      </c>
      <c r="E498" s="9" t="s">
        <v>22</v>
      </c>
      <c r="F498" s="9" t="s">
        <v>23</v>
      </c>
      <c r="G498" s="9" t="s">
        <v>24</v>
      </c>
      <c r="H498" s="9" t="s">
        <v>25</v>
      </c>
      <c r="I498" s="9" t="s">
        <v>79</v>
      </c>
      <c r="J498" s="9">
        <v>6</v>
      </c>
      <c r="K498" s="9">
        <v>899</v>
      </c>
      <c r="L498" s="9">
        <v>0.05</v>
      </c>
      <c r="M498" s="9">
        <v>3473.98</v>
      </c>
      <c r="N498" s="9" t="s">
        <v>44</v>
      </c>
      <c r="O498" s="15">
        <f t="shared" si="45"/>
        <v>5394</v>
      </c>
      <c r="P498" s="20">
        <f t="shared" si="46"/>
        <v>269.7</v>
      </c>
      <c r="R498" s="25">
        <f t="shared" si="47"/>
        <v>32364</v>
      </c>
      <c r="S498" s="24">
        <f t="shared" si="48"/>
        <v>0</v>
      </c>
    </row>
    <row r="499" spans="1:19" ht="15" thickTop="1" x14ac:dyDescent="0.3">
      <c r="A499" s="7" t="s">
        <v>838</v>
      </c>
      <c r="B499" s="14">
        <v>47354</v>
      </c>
      <c r="C499" s="14" t="str">
        <f t="shared" si="43"/>
        <v>2029</v>
      </c>
      <c r="D499" s="14" t="str">
        <f t="shared" si="44"/>
        <v>08</v>
      </c>
      <c r="E499" s="3" t="s">
        <v>63</v>
      </c>
      <c r="F499" s="3" t="s">
        <v>23</v>
      </c>
      <c r="G499" s="3" t="s">
        <v>38</v>
      </c>
      <c r="H499" s="3" t="s">
        <v>32</v>
      </c>
      <c r="I499" s="3" t="s">
        <v>51</v>
      </c>
      <c r="J499" s="3">
        <v>8</v>
      </c>
      <c r="K499" s="3">
        <v>699</v>
      </c>
      <c r="L499" s="3">
        <v>0.15</v>
      </c>
      <c r="M499" s="3">
        <v>3356.29</v>
      </c>
      <c r="N499" s="3" t="s">
        <v>27</v>
      </c>
      <c r="O499" s="15">
        <f t="shared" si="45"/>
        <v>5592</v>
      </c>
      <c r="P499" s="20">
        <f t="shared" si="46"/>
        <v>838.8</v>
      </c>
      <c r="R499" s="25">
        <f t="shared" si="47"/>
        <v>44736</v>
      </c>
      <c r="S499" s="24">
        <f t="shared" si="48"/>
        <v>0</v>
      </c>
    </row>
    <row r="500" spans="1:19" x14ac:dyDescent="0.3">
      <c r="A500" s="8"/>
      <c r="B500" s="14">
        <v>47355</v>
      </c>
      <c r="C500" s="14" t="str">
        <f t="shared" si="43"/>
        <v>2029</v>
      </c>
      <c r="D500" s="14" t="str">
        <f t="shared" si="44"/>
        <v>08</v>
      </c>
      <c r="E500" s="9"/>
      <c r="F500" s="9"/>
      <c r="G500" s="9" t="s">
        <v>852</v>
      </c>
      <c r="H500" s="9"/>
      <c r="I500" s="9"/>
      <c r="J500" s="9"/>
      <c r="K500" s="9"/>
      <c r="L500" s="9"/>
      <c r="M500" s="9"/>
      <c r="N500" s="9"/>
      <c r="O500" s="15">
        <f t="shared" si="45"/>
        <v>0</v>
      </c>
      <c r="P500" s="17" t="str">
        <f>PROPER(B499)</f>
        <v>47354</v>
      </c>
      <c r="R500" s="25">
        <f t="shared" si="47"/>
        <v>0</v>
      </c>
      <c r="S500" s="24">
        <f t="shared" si="48"/>
        <v>0</v>
      </c>
    </row>
    <row r="501" spans="1:19" x14ac:dyDescent="0.3">
      <c r="A501" s="7"/>
      <c r="B501" s="14">
        <v>47356</v>
      </c>
      <c r="C501" s="14" t="str">
        <f t="shared" si="43"/>
        <v>2029</v>
      </c>
      <c r="D501" s="14" t="str">
        <f t="shared" si="44"/>
        <v>08</v>
      </c>
      <c r="E501" s="3"/>
      <c r="F501" s="3"/>
      <c r="G501" s="3"/>
      <c r="H501" s="3"/>
      <c r="I501" s="3"/>
      <c r="J501" s="3"/>
      <c r="K501" s="3"/>
      <c r="L501" s="3"/>
      <c r="M501" s="3"/>
      <c r="N501" s="3"/>
      <c r="O501" s="15">
        <f t="shared" si="45"/>
        <v>0</v>
      </c>
      <c r="P501" s="16" t="str">
        <f>PROPER(B500)</f>
        <v>47355</v>
      </c>
      <c r="R501" s="25">
        <f t="shared" si="47"/>
        <v>0</v>
      </c>
      <c r="S501" s="24">
        <f t="shared" si="48"/>
        <v>0</v>
      </c>
    </row>
    <row r="502" spans="1:19" x14ac:dyDescent="0.3">
      <c r="A502" s="21"/>
      <c r="B502" s="14">
        <v>47357</v>
      </c>
      <c r="C502" s="14" t="str">
        <f t="shared" si="43"/>
        <v>2029</v>
      </c>
      <c r="D502" s="14" t="str">
        <f t="shared" si="44"/>
        <v>08</v>
      </c>
      <c r="E502" s="2"/>
      <c r="F502" s="2"/>
      <c r="G502" s="2"/>
      <c r="H502" s="2"/>
      <c r="I502" s="2"/>
      <c r="J502" s="2"/>
      <c r="K502" s="2"/>
      <c r="L502" s="2"/>
      <c r="M502" s="2"/>
      <c r="N502" s="2"/>
      <c r="O502" s="15">
        <f t="shared" si="45"/>
        <v>0</v>
      </c>
      <c r="P502" s="22" t="str">
        <f>PROPER(B501)</f>
        <v>47356</v>
      </c>
      <c r="R502" s="25">
        <f t="shared" si="47"/>
        <v>0</v>
      </c>
      <c r="S502" s="24">
        <f t="shared" si="48"/>
        <v>0</v>
      </c>
    </row>
    <row r="503" spans="1:19" x14ac:dyDescent="0.3">
      <c r="A503" s="11"/>
      <c r="B503" s="12"/>
      <c r="C503" s="12"/>
      <c r="D503" s="12"/>
      <c r="E503" s="12"/>
      <c r="F503" s="12"/>
      <c r="G503" s="12"/>
      <c r="H503" s="12"/>
      <c r="I503" s="12"/>
      <c r="J503" s="12"/>
      <c r="K503" s="12"/>
      <c r="L503" s="12"/>
      <c r="M503" s="12"/>
      <c r="N503" s="12"/>
    </row>
    <row r="1048556" spans="6:6" x14ac:dyDescent="0.3">
      <c r="F1048556" t="e" cm="1" vm="1">
        <f t="array" aca="1" ref="F1048556" ca="1">PROPER(F2:F499)</f>
        <v>#VALUE!</v>
      </c>
    </row>
    <row r="1048557" spans="6:6" x14ac:dyDescent="0.3">
      <c r="F1048557" t="e" cm="1" vm="1">
        <f t="array" aca="1" ref="F1048557" ca="1">PROPER(G2:G502)</f>
        <v>#VALUE!</v>
      </c>
    </row>
    <row r="1048558" spans="6:6" x14ac:dyDescent="0.3">
      <c r="F1048558" t="e" cm="1" vm="1">
        <f t="array" aca="1" ref="F1048558" ca="1">PROPER(H2:H499)</f>
        <v>#VALUE!</v>
      </c>
    </row>
    <row r="1048559" spans="6:6" x14ac:dyDescent="0.3">
      <c r="F1048559" t="e" cm="1" vm="1">
        <f t="array" aca="1" ref="F1048559" ca="1">PROPER(I2:I499)</f>
        <v>#VALUE!</v>
      </c>
    </row>
    <row r="1048560" spans="6:6" x14ac:dyDescent="0.3">
      <c r="F1048560" t="str">
        <f>PROPER(TRIM(G2))</f>
        <v>Chennai</v>
      </c>
    </row>
  </sheetData>
  <phoneticPr fontId="3" type="noConversion"/>
  <conditionalFormatting sqref="O2:P502">
    <cfRule type="containsText" dxfId="0" priority="1" operator="containsText" text="04-02-2025">
      <formula>NOT(ISERROR(SEARCH("04-02-2025",O2)))</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3DDAF-8D94-4118-90E3-B096BED8521D}">
  <dimension ref="A2:F78"/>
  <sheetViews>
    <sheetView topLeftCell="A76" workbookViewId="0">
      <selection activeCell="A78" sqref="A78"/>
    </sheetView>
  </sheetViews>
  <sheetFormatPr defaultRowHeight="14.4" x14ac:dyDescent="0.3"/>
  <cols>
    <col min="1" max="1" width="16.44140625" bestFit="1" customWidth="1"/>
    <col min="2" max="2" width="11.6640625" bestFit="1" customWidth="1"/>
    <col min="3" max="3" width="13.6640625" customWidth="1"/>
    <col min="4" max="4" width="12.5546875" bestFit="1" customWidth="1"/>
    <col min="5" max="6" width="17.21875" bestFit="1" customWidth="1"/>
  </cols>
  <sheetData>
    <row r="2" spans="1:6" x14ac:dyDescent="0.3">
      <c r="A2" t="s">
        <v>864</v>
      </c>
    </row>
    <row r="3" spans="1:6" x14ac:dyDescent="0.3">
      <c r="A3" t="s">
        <v>864</v>
      </c>
      <c r="E3" t="s">
        <v>881</v>
      </c>
    </row>
    <row r="4" spans="1:6" x14ac:dyDescent="0.3">
      <c r="A4" s="13">
        <v>127323.90000000001</v>
      </c>
      <c r="E4" s="26" t="s">
        <v>861</v>
      </c>
      <c r="F4" t="s">
        <v>863</v>
      </c>
    </row>
    <row r="5" spans="1:6" x14ac:dyDescent="0.3">
      <c r="E5" s="27" t="s">
        <v>39</v>
      </c>
      <c r="F5" s="13">
        <v>7</v>
      </c>
    </row>
    <row r="6" spans="1:6" x14ac:dyDescent="0.3">
      <c r="E6" s="27" t="s">
        <v>25</v>
      </c>
      <c r="F6" s="13">
        <v>7</v>
      </c>
    </row>
    <row r="7" spans="1:6" x14ac:dyDescent="0.3">
      <c r="E7" s="27" t="s">
        <v>17</v>
      </c>
      <c r="F7" s="13">
        <v>8</v>
      </c>
    </row>
    <row r="8" spans="1:6" x14ac:dyDescent="0.3">
      <c r="A8" s="13" t="s">
        <v>879</v>
      </c>
      <c r="E8" s="27" t="s">
        <v>32</v>
      </c>
      <c r="F8" s="13">
        <v>11</v>
      </c>
    </row>
    <row r="9" spans="1:6" x14ac:dyDescent="0.3">
      <c r="A9" t="s">
        <v>866</v>
      </c>
      <c r="E9" s="27" t="s">
        <v>862</v>
      </c>
      <c r="F9" s="13">
        <v>33</v>
      </c>
    </row>
    <row r="10" spans="1:6" x14ac:dyDescent="0.3">
      <c r="A10" s="13">
        <v>498</v>
      </c>
    </row>
    <row r="11" spans="1:6" x14ac:dyDescent="0.3">
      <c r="A11" s="13"/>
    </row>
    <row r="15" spans="1:6" x14ac:dyDescent="0.3">
      <c r="A15" t="s">
        <v>865</v>
      </c>
    </row>
    <row r="16" spans="1:6" x14ac:dyDescent="0.3">
      <c r="A16" s="13">
        <v>-1269472.0299999998</v>
      </c>
    </row>
    <row r="19" spans="4:5" x14ac:dyDescent="0.3">
      <c r="D19" t="s">
        <v>882</v>
      </c>
    </row>
    <row r="21" spans="4:5" x14ac:dyDescent="0.3">
      <c r="D21" s="26" t="s">
        <v>861</v>
      </c>
      <c r="E21" t="s">
        <v>863</v>
      </c>
    </row>
    <row r="22" spans="4:5" x14ac:dyDescent="0.3">
      <c r="D22" s="27" t="s">
        <v>31</v>
      </c>
      <c r="E22" s="13">
        <v>7</v>
      </c>
    </row>
    <row r="23" spans="4:5" x14ac:dyDescent="0.3">
      <c r="D23" s="27" t="s">
        <v>24</v>
      </c>
      <c r="E23" s="13">
        <v>7</v>
      </c>
    </row>
    <row r="24" spans="4:5" x14ac:dyDescent="0.3">
      <c r="D24" s="27" t="s">
        <v>59</v>
      </c>
      <c r="E24" s="13">
        <v>3</v>
      </c>
    </row>
    <row r="25" spans="4:5" x14ac:dyDescent="0.3">
      <c r="D25" s="27" t="s">
        <v>16</v>
      </c>
      <c r="E25" s="13">
        <v>7</v>
      </c>
    </row>
    <row r="26" spans="4:5" x14ac:dyDescent="0.3">
      <c r="D26" s="27" t="s">
        <v>47</v>
      </c>
      <c r="E26" s="13">
        <v>5</v>
      </c>
    </row>
    <row r="27" spans="4:5" x14ac:dyDescent="0.3">
      <c r="D27" s="27" t="s">
        <v>38</v>
      </c>
      <c r="E27" s="13">
        <v>4</v>
      </c>
    </row>
    <row r="28" spans="4:5" x14ac:dyDescent="0.3">
      <c r="D28" s="27" t="s">
        <v>853</v>
      </c>
      <c r="E28" s="13"/>
    </row>
    <row r="29" spans="4:5" x14ac:dyDescent="0.3">
      <c r="D29" s="27" t="s">
        <v>862</v>
      </c>
      <c r="E29" s="13">
        <v>33</v>
      </c>
    </row>
    <row r="37" spans="4:5" x14ac:dyDescent="0.3">
      <c r="D37" t="s">
        <v>883</v>
      </c>
    </row>
    <row r="39" spans="4:5" x14ac:dyDescent="0.3">
      <c r="D39" s="26" t="s">
        <v>861</v>
      </c>
      <c r="E39" t="s">
        <v>863</v>
      </c>
    </row>
    <row r="40" spans="4:5" x14ac:dyDescent="0.3">
      <c r="D40" s="27" t="s">
        <v>876</v>
      </c>
      <c r="E40" s="13"/>
    </row>
    <row r="41" spans="4:5" x14ac:dyDescent="0.3">
      <c r="D41" s="27" t="s">
        <v>877</v>
      </c>
      <c r="E41" s="13"/>
    </row>
    <row r="42" spans="4:5" x14ac:dyDescent="0.3">
      <c r="D42" s="27" t="s">
        <v>878</v>
      </c>
      <c r="E42" s="13"/>
    </row>
    <row r="43" spans="4:5" x14ac:dyDescent="0.3">
      <c r="D43" s="27" t="s">
        <v>867</v>
      </c>
      <c r="E43" s="13">
        <v>17</v>
      </c>
    </row>
    <row r="44" spans="4:5" x14ac:dyDescent="0.3">
      <c r="D44" s="27" t="s">
        <v>868</v>
      </c>
      <c r="E44" s="13">
        <v>16</v>
      </c>
    </row>
    <row r="45" spans="4:5" x14ac:dyDescent="0.3">
      <c r="D45" s="27" t="s">
        <v>869</v>
      </c>
      <c r="E45" s="13"/>
    </row>
    <row r="46" spans="4:5" x14ac:dyDescent="0.3">
      <c r="D46" s="27" t="s">
        <v>870</v>
      </c>
      <c r="E46" s="13"/>
    </row>
    <row r="47" spans="4:5" x14ac:dyDescent="0.3">
      <c r="D47" s="27" t="s">
        <v>871</v>
      </c>
      <c r="E47" s="13"/>
    </row>
    <row r="48" spans="4:5" x14ac:dyDescent="0.3">
      <c r="D48" s="27" t="s">
        <v>872</v>
      </c>
      <c r="E48" s="13"/>
    </row>
    <row r="49" spans="1:5" x14ac:dyDescent="0.3">
      <c r="D49" s="27" t="s">
        <v>873</v>
      </c>
      <c r="E49" s="13"/>
    </row>
    <row r="50" spans="1:5" x14ac:dyDescent="0.3">
      <c r="D50" s="27" t="s">
        <v>874</v>
      </c>
      <c r="E50" s="13"/>
    </row>
    <row r="51" spans="1:5" x14ac:dyDescent="0.3">
      <c r="D51" s="27" t="s">
        <v>875</v>
      </c>
      <c r="E51" s="13"/>
    </row>
    <row r="52" spans="1:5" x14ac:dyDescent="0.3">
      <c r="D52" s="27" t="s">
        <v>862</v>
      </c>
      <c r="E52" s="13">
        <v>33</v>
      </c>
    </row>
    <row r="54" spans="1:5" x14ac:dyDescent="0.3">
      <c r="A54" t="s">
        <v>880</v>
      </c>
    </row>
    <row r="56" spans="1:5" x14ac:dyDescent="0.3">
      <c r="A56" s="26" t="s">
        <v>861</v>
      </c>
      <c r="B56" t="s">
        <v>863</v>
      </c>
    </row>
    <row r="57" spans="1:5" x14ac:dyDescent="0.3">
      <c r="A57" s="27" t="s">
        <v>60</v>
      </c>
      <c r="B57" s="13">
        <v>3</v>
      </c>
    </row>
    <row r="58" spans="1:5" x14ac:dyDescent="0.3">
      <c r="A58" s="27" t="s">
        <v>33</v>
      </c>
      <c r="B58" s="13">
        <v>4</v>
      </c>
    </row>
    <row r="59" spans="1:5" x14ac:dyDescent="0.3">
      <c r="A59" s="27" t="s">
        <v>56</v>
      </c>
      <c r="B59" s="13">
        <v>2</v>
      </c>
    </row>
    <row r="60" spans="1:5" x14ac:dyDescent="0.3">
      <c r="A60" s="27" t="s">
        <v>40</v>
      </c>
      <c r="B60" s="13">
        <v>2</v>
      </c>
    </row>
    <row r="61" spans="1:5" x14ac:dyDescent="0.3">
      <c r="A61" s="27" t="s">
        <v>66</v>
      </c>
      <c r="B61" s="13">
        <v>2</v>
      </c>
    </row>
    <row r="62" spans="1:5" x14ac:dyDescent="0.3">
      <c r="A62" s="27" t="s">
        <v>106</v>
      </c>
      <c r="B62" s="13">
        <v>2</v>
      </c>
    </row>
    <row r="63" spans="1:5" x14ac:dyDescent="0.3">
      <c r="A63" s="27" t="s">
        <v>51</v>
      </c>
      <c r="B63" s="13">
        <v>2</v>
      </c>
    </row>
    <row r="64" spans="1:5" x14ac:dyDescent="0.3">
      <c r="A64" s="27" t="s">
        <v>74</v>
      </c>
      <c r="B64" s="13">
        <v>2</v>
      </c>
    </row>
    <row r="65" spans="1:2" x14ac:dyDescent="0.3">
      <c r="A65" s="27" t="s">
        <v>18</v>
      </c>
      <c r="B65" s="13">
        <v>3</v>
      </c>
    </row>
    <row r="66" spans="1:2" x14ac:dyDescent="0.3">
      <c r="A66" s="27" t="s">
        <v>26</v>
      </c>
      <c r="B66" s="13">
        <v>3</v>
      </c>
    </row>
    <row r="67" spans="1:2" x14ac:dyDescent="0.3">
      <c r="A67" s="27" t="s">
        <v>862</v>
      </c>
      <c r="B67" s="13">
        <v>25</v>
      </c>
    </row>
    <row r="77" spans="1:2" x14ac:dyDescent="0.3">
      <c r="A77" t="s">
        <v>866</v>
      </c>
    </row>
    <row r="78" spans="1:2" x14ac:dyDescent="0.3">
      <c r="A78" s="13">
        <v>498</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463AD-A650-4301-AD5F-3693A9F046AC}">
  <dimension ref="W12"/>
  <sheetViews>
    <sheetView tabSelected="1" zoomScaleNormal="100" workbookViewId="0">
      <selection activeCell="R65" sqref="R65"/>
    </sheetView>
  </sheetViews>
  <sheetFormatPr defaultRowHeight="14.4" x14ac:dyDescent="0.3"/>
  <sheetData>
    <row r="12" spans="23:23" x14ac:dyDescent="0.3">
      <c r="W12"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19E31-DE31-4EE6-8484-A6223055D86C}">
  <dimension ref="A1"/>
  <sheetViews>
    <sheetView workbookViewId="0">
      <selection activeCell="K17" sqref="K17"/>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heetViews>
  <sheetFormatPr defaultRowHeight="14.4" x14ac:dyDescent="0.3"/>
  <sheetData>
    <row r="1" spans="1:2" x14ac:dyDescent="0.3">
      <c r="A1" s="1" t="s">
        <v>839</v>
      </c>
      <c r="B1" s="1" t="s">
        <v>840</v>
      </c>
    </row>
    <row r="2" spans="1:2" x14ac:dyDescent="0.3">
      <c r="A2">
        <v>1</v>
      </c>
      <c r="B2" t="s">
        <v>841</v>
      </c>
    </row>
    <row r="3" spans="1:2" x14ac:dyDescent="0.3">
      <c r="A3">
        <v>2</v>
      </c>
      <c r="B3" t="s">
        <v>842</v>
      </c>
    </row>
    <row r="4" spans="1:2" x14ac:dyDescent="0.3">
      <c r="A4">
        <v>3</v>
      </c>
      <c r="B4" t="s">
        <v>843</v>
      </c>
    </row>
    <row r="5" spans="1:2" x14ac:dyDescent="0.3">
      <c r="A5">
        <v>4</v>
      </c>
      <c r="B5" t="s">
        <v>844</v>
      </c>
    </row>
    <row r="6" spans="1:2" x14ac:dyDescent="0.3">
      <c r="A6">
        <v>5</v>
      </c>
      <c r="B6" t="s">
        <v>845</v>
      </c>
    </row>
    <row r="7" spans="1:2" x14ac:dyDescent="0.3">
      <c r="A7">
        <v>6</v>
      </c>
      <c r="B7" t="s">
        <v>846</v>
      </c>
    </row>
    <row r="8" spans="1:2" x14ac:dyDescent="0.3">
      <c r="A8">
        <v>7</v>
      </c>
      <c r="B8" t="s">
        <v>847</v>
      </c>
    </row>
    <row r="9" spans="1:2" x14ac:dyDescent="0.3">
      <c r="A9">
        <v>8</v>
      </c>
      <c r="B9" t="s">
        <v>848</v>
      </c>
    </row>
    <row r="10" spans="1:2" x14ac:dyDescent="0.3">
      <c r="A10">
        <v>9</v>
      </c>
      <c r="B10" t="s">
        <v>849</v>
      </c>
    </row>
    <row r="11" spans="1:2" x14ac:dyDescent="0.3">
      <c r="A11">
        <v>10</v>
      </c>
      <c r="B11" t="s">
        <v>850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6E1D34E-433F-4E0C-926E-0B20E34239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Cleaned Data</vt:lpstr>
      <vt:lpstr>Pivot Analysis</vt:lpstr>
      <vt:lpstr>Dashboard</vt:lpstr>
      <vt:lpstr>Insights</vt:lpstr>
      <vt:lpstr>Project_Steps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shahina R</cp:lastModifiedBy>
  <dcterms:created xsi:type="dcterms:W3CDTF">2026-09-24T06:30:13Z</dcterms:created>
  <dcterms:modified xsi:type="dcterms:W3CDTF">2026-10-06T12:42:39Z</dcterms:modified>
</cp:coreProperties>
</file>